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1. Fuentes" sheetId="2" state="visible" r:id="rId2"/>
    <sheet xmlns:r="http://schemas.openxmlformats.org/officeDocument/2006/relationships" name="2. Diccionario" sheetId="3" state="visible" r:id="rId3"/>
    <sheet xmlns:r="http://schemas.openxmlformats.org/officeDocument/2006/relationships" name="3. Bitácora IA" sheetId="4" state="visible" r:id="rId4"/>
    <sheet xmlns:r="http://schemas.openxmlformats.org/officeDocument/2006/relationships" name="Resumen"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17">
    <font>
      <name val="Calibri"/>
      <color theme="1"/>
      <sz val="11"/>
      <scheme val="minor"/>
    </font>
    <font>
      <name val="Arial"/>
      <b val="1"/>
      <color rgb="FF000000"/>
      <sz val="14"/>
    </font>
    <font>
      <name val="Arial"/>
      <b val="1"/>
      <color theme="1"/>
      <sz val="14"/>
    </font>
    <font>
      <name val="Arial"/>
      <color rgb="FF555555"/>
      <sz val="9"/>
    </font>
    <font>
      <name val="Arial"/>
      <color rgb="FF000000"/>
      <sz val="10"/>
    </font>
    <font>
      <name val="Arial"/>
      <b val="1"/>
      <color rgb="FF000000"/>
      <sz val="11"/>
    </font>
    <font>
      <name val="Arial"/>
      <i val="1"/>
      <color rgb="FF555555"/>
      <sz val="9"/>
    </font>
    <font>
      <name val="Arial"/>
      <b val="1"/>
      <color rgb="FFFFFFFF"/>
      <sz val="10"/>
    </font>
    <font>
      <name val="&quot;Google Sans Text&quot;"/>
      <b val="1"/>
      <color theme="1"/>
    </font>
    <font>
      <name val="Arial"/>
      <color rgb="FF000000"/>
      <sz val="10"/>
      <u val="single"/>
    </font>
    <font>
      <name val="&quot;Google Sans Text&quot;"/>
      <color theme="1"/>
    </font>
    <font>
      <name val="Arial"/>
      <i val="1"/>
      <color rgb="FF666666"/>
      <sz val="9"/>
    </font>
    <font>
      <name val="Arial"/>
      <i val="1"/>
      <color rgb="FF000000"/>
      <sz val="9"/>
    </font>
    <font>
      <name val="Arial"/>
      <color theme="1"/>
      <sz val="10"/>
    </font>
    <font>
      <name val="Arial"/>
      <color rgb="FF0000FF"/>
      <sz val="10"/>
      <u val="single"/>
    </font>
    <font>
      <name val="Calibri"/>
      <color theme="1"/>
      <scheme val="minor"/>
    </font>
    <font>
      <name val="Arial"/>
      <b val="1"/>
      <color theme="1"/>
      <sz val="10"/>
    </font>
  </fonts>
  <fills count="6">
    <fill>
      <patternFill/>
    </fill>
    <fill>
      <patternFill patternType="lightGray"/>
    </fill>
    <fill>
      <patternFill patternType="solid">
        <fgColor rgb="FFFFF7CC"/>
        <bgColor rgb="FFFFF7CC"/>
      </patternFill>
    </fill>
    <fill>
      <patternFill patternType="solid">
        <fgColor rgb="FF1F1F1F"/>
        <bgColor rgb="FF1F1F1F"/>
      </patternFill>
    </fill>
    <fill>
      <patternFill patternType="solid">
        <fgColor rgb="FFEDEDED"/>
        <bgColor rgb="FFEDEDED"/>
      </patternFill>
    </fill>
    <fill>
      <patternFill patternType="solid">
        <fgColor rgb="FFEDEDED"/>
      </patternFill>
    </fill>
  </fills>
  <borders count="4">
    <border/>
    <border>
      <left/>
      <right/>
      <top/>
      <bottom/>
    </border>
    <border>
      <left style="thin">
        <color rgb="FFBFBFBF"/>
      </left>
      <right style="thin">
        <color rgb="FFBFBFBF"/>
      </right>
      <top style="thin">
        <color rgb="FFBFBFBF"/>
      </top>
      <bottom style="thin">
        <color rgb="FFBFBFBF"/>
      </bottom>
    </border>
    <border>
      <left style="thin">
        <color rgb="FFC4C7C5"/>
      </left>
      <right style="thin">
        <color rgb="FFC4C7C5"/>
      </right>
      <top style="thin">
        <color rgb="FFC4C7C5"/>
      </top>
      <bottom style="thin">
        <color rgb="FFC4C7C5"/>
      </bottom>
    </border>
  </borders>
  <cellStyleXfs count="1">
    <xf numFmtId="0" fontId="0" fillId="0" borderId="0"/>
  </cellStyleXfs>
  <cellXfs count="35">
    <xf numFmtId="0" fontId="0" fillId="0" borderId="0" applyAlignment="1" pivotButton="0" quotePrefix="0" xfId="0">
      <alignment vertical="bottom"/>
    </xf>
    <xf numFmtId="0" fontId="1" fillId="0" borderId="0" applyAlignment="1" pivotButton="0" quotePrefix="0" xfId="0">
      <alignment wrapText="1"/>
    </xf>
    <xf numFmtId="0" fontId="2" fillId="0"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6" fillId="0" borderId="0" pivotButton="0" quotePrefix="0" xfId="0"/>
    <xf numFmtId="0" fontId="4" fillId="2" borderId="1" applyAlignment="1" pivotButton="0" quotePrefix="0" xfId="0">
      <alignment wrapText="1"/>
    </xf>
    <xf numFmtId="0" fontId="7" fillId="3" borderId="2" applyAlignment="1" pivotButton="0" quotePrefix="0" xfId="0">
      <alignment vertical="center" wrapText="1"/>
    </xf>
    <xf numFmtId="0" fontId="8" fillId="0" borderId="3" pivotButton="0" quotePrefix="0" xfId="0"/>
    <xf numFmtId="0" fontId="9" fillId="2" borderId="1" applyAlignment="1" pivotButton="0" quotePrefix="0" xfId="0">
      <alignment wrapText="1"/>
    </xf>
    <xf numFmtId="0" fontId="10" fillId="0" borderId="3" applyAlignment="1" pivotButton="0" quotePrefix="0" xfId="0">
      <alignment wrapText="1"/>
    </xf>
    <xf numFmtId="0" fontId="11" fillId="4" borderId="2" applyAlignment="1" pivotButton="0" quotePrefix="0" xfId="0">
      <alignment vertical="top" wrapText="1"/>
    </xf>
    <xf numFmtId="0" fontId="12" fillId="2" borderId="2" applyAlignment="1" pivotButton="0" quotePrefix="0" xfId="0">
      <alignment horizontal="left" vertical="center" wrapText="1"/>
    </xf>
    <xf numFmtId="0" fontId="13" fillId="2" borderId="2" applyAlignment="1" pivotButton="0" quotePrefix="0" xfId="0">
      <alignment horizontal="left" vertical="center" wrapText="1"/>
    </xf>
    <xf numFmtId="0" fontId="13" fillId="2" borderId="2" applyAlignment="1" pivotButton="0" quotePrefix="0" xfId="0">
      <alignment vertical="top" wrapText="1"/>
    </xf>
    <xf numFmtId="0" fontId="14" fillId="2" borderId="2" applyAlignment="1" pivotButton="0" quotePrefix="0" xfId="0">
      <alignment horizontal="left" vertical="center" wrapText="1"/>
    </xf>
    <xf numFmtId="164" fontId="13" fillId="2" borderId="2" applyAlignment="1" pivotButton="0" quotePrefix="0" xfId="0">
      <alignment horizontal="left" vertical="center" wrapText="1"/>
    </xf>
    <xf numFmtId="0" fontId="15" fillId="0" borderId="0" applyAlignment="1" pivotButton="0" quotePrefix="0" xfId="0">
      <alignment horizontal="left" vertical="center" wrapText="1"/>
    </xf>
    <xf numFmtId="0" fontId="16" fillId="0" borderId="0" pivotButton="0" quotePrefix="0" xfId="0"/>
    <xf numFmtId="0" fontId="13" fillId="0" borderId="2" pivotButton="0" quotePrefix="0" xfId="0"/>
    <xf numFmtId="0" fontId="13" fillId="0" borderId="0" pivotButton="0" quotePrefix="0" xfId="0"/>
    <xf numFmtId="9" fontId="13" fillId="0" borderId="2" pivotButton="0" quotePrefix="0" xfId="0"/>
    <xf numFmtId="0" fontId="13" fillId="2" borderId="2" applyAlignment="1" pivotButton="0" quotePrefix="0" xfId="0">
      <alignment horizontal="left" vertical="center" wrapText="1"/>
    </xf>
    <xf numFmtId="0" fontId="0" fillId="0" borderId="0" pivotButton="0" quotePrefix="0" xfId="0"/>
    <xf numFmtId="0" fontId="12" fillId="5" borderId="2" applyAlignment="1" pivotButton="0" quotePrefix="0" xfId="0">
      <alignment horizontal="left" vertical="center" wrapText="1"/>
    </xf>
    <xf numFmtId="0" fontId="13" fillId="5" borderId="2" applyAlignment="1" pivotButton="0" quotePrefix="0" xfId="0">
      <alignment horizontal="left" vertical="center" wrapText="1"/>
    </xf>
    <xf numFmtId="0" fontId="14" fillId="5" borderId="2" applyAlignment="1" pivotButton="0" quotePrefix="0" xfId="0">
      <alignment horizontal="left" vertical="center" wrapText="1"/>
    </xf>
    <xf numFmtId="164" fontId="13" fillId="5" borderId="2" applyAlignment="1" pivotButton="0" quotePrefix="0" xfId="0">
      <alignment horizontal="left" vertical="center" wrapText="1"/>
    </xf>
    <xf numFmtId="0" fontId="13" fillId="2" borderId="2" applyAlignment="1" pivotButton="0" quotePrefix="0" xfId="0">
      <alignment horizontal="left" vertical="center" wrapText="1"/>
    </xf>
    <xf numFmtId="0" fontId="14" fillId="2" borderId="2" applyAlignment="1" pivotButton="0" quotePrefix="0" xfId="0">
      <alignment horizontal="left" vertical="center" wrapText="1"/>
    </xf>
    <xf numFmtId="164" fontId="13" fillId="2" borderId="2" applyAlignment="1" pivotButton="0" quotePrefix="0" xfId="0">
      <alignment horizontal="left" vertical="center" wrapText="1"/>
    </xf>
    <xf numFmtId="0" fontId="11" fillId="5" borderId="2" applyAlignment="1" pivotButton="0" quotePrefix="0" xfId="0">
      <alignment vertical="top" wrapText="1"/>
    </xf>
    <xf numFmtId="0" fontId="13" fillId="2" borderId="2" applyAlignment="1" pivotButton="0" quotePrefix="0" xfId="0">
      <alignment vertical="top" wrapText="1"/>
    </xf>
    <xf numFmtId="0" fontId="10" fillId="0" borderId="3"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ManuelArenas1/Hong-Kong-gmdigital.git" TargetMode="External" Id="rId1"/></Relationships>
</file>

<file path=xl/worksheets/_rels/sheet2.xml.rels><Relationships xmlns="http://schemas.openxmlformats.org/package/2006/relationships"><Relationship Type="http://schemas.openxmlformats.org/officeDocument/2006/relationships/hyperlink" Target="https://www.censtatd.gov.hk/en/scode150.html" TargetMode="External" Id="rId1"/><Relationship Type="http://schemas.openxmlformats.org/officeDocument/2006/relationships/hyperlink" Target="https://www.censtatd.gov.hk/en/EIndexbySubject.html?pcode=B1120015&amp;scode=190" TargetMode="External" Id="rId2"/><Relationship Type="http://schemas.openxmlformats.org/officeDocument/2006/relationships/hyperlink" Target="https://www.census2021.gov.hk/doc/pub/21C_Articles_Educational.pdf" TargetMode="External" Id="rId3"/><Relationship Type="http://schemas.openxmlformats.org/officeDocument/2006/relationships/hyperlink" Target="https://www.chp.gov.hk/en/statistics/data/10/27/112.html" TargetMode="External" Id="rId4"/><Relationship Type="http://schemas.openxmlformats.org/officeDocument/2006/relationships/hyperlink" Target="https://www.rvd.gov.hk/en/publications/property_market_statistics.html" TargetMode="External" Id="rId5"/><Relationship Type="http://schemas.openxmlformats.org/officeDocument/2006/relationships/hyperlink" Target="https://www.hb.gov.hk/eng/publications/housing/HIF2025.pdf" TargetMode="External" Id="rId6"/><Relationship Type="http://schemas.openxmlformats.org/officeDocument/2006/relationships/hyperlink" Target="https://s3.ourhkfoundation.org.hk/s3fs-public/2025-04/Land-and-Housing-2025_full-report_EN.pdf" TargetMode="External" Id="rId7"/><Relationship Type="http://schemas.openxmlformats.org/officeDocument/2006/relationships/hyperlink" Target="https://www.budget.gov.hk/2026/eng/budget54.html" TargetMode="External" Id="rId8"/><Relationship Type="http://schemas.openxmlformats.org/officeDocument/2006/relationships/hyperlink" Target="https://www.censtatd.gov.hk/en/scode80.html?productCode=FA100099" TargetMode="External" Id="rId9"/><Relationship Type="http://schemas.openxmlformats.org/officeDocument/2006/relationships/hyperlink" Target="https://www.police.gov.hk/ppp_en/09_statistics/csd.html" TargetMode="External" Id="rId10"/><Relationship Type="http://schemas.openxmlformats.org/officeDocument/2006/relationships/hyperlink" Target="https://www.icac.org.hk/en/intl-persp/ranking-and-research/corruption-perceptions-index/index.html" TargetMode="External" Id="rId11"/><Relationship Type="http://schemas.openxmlformats.org/officeDocument/2006/relationships/hyperlink" Target="https://www.gov.hk/en/about/abouthk/factsheets/docs/tourism.pdf" TargetMode="External" Id="rId12"/><Relationship Type="http://schemas.openxmlformats.org/officeDocument/2006/relationships/hyperlink" Target="https://www.afcd.gov.hk/english/country/cou_lea/the_facts.html" TargetMode="External" Id="rId13"/><Relationship Type="http://schemas.openxmlformats.org/officeDocument/2006/relationships/hyperlink" Target="https://www.wsd.gov.hk/en/publications-and-statistics/pr-publications/the-facts/index.html" TargetMode="External" Id="rId14"/><Relationship Type="http://schemas.openxmlformats.org/officeDocument/2006/relationships/hyperlink" Target="https://www.wwf.org.hk/en/biodiversity/" TargetMode="External" Id="rId15"/><Relationship Type="http://schemas.openxmlformats.org/officeDocument/2006/relationships/hyperlink" Target="https://socialindicators.org.hk/how-many-hong-kong-residents-live-in-poverty-breaking-down-the-latest-statistics-by-district-and-demographics/" TargetMode="External" Id="rId16"/><Relationship Type="http://schemas.openxmlformats.org/officeDocument/2006/relationships/hyperlink" Target="https://www.macrotrends.net/global-metrics/countries/hkg/hong-kong/fertility-rate" TargetMode="External" Id="rId17"/><Relationship Type="http://schemas.openxmlformats.org/officeDocument/2006/relationships/hyperlink" Target="http://ipc2025.popconf.org/uploads/250834" TargetMode="External" Id="rId18"/></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14.43" defaultRowHeight="15" customHeight="1"/>
  <cols>
    <col width="4" customWidth="1" style="24" min="1" max="1"/>
    <col width="110" customWidth="1" style="24" min="2" max="2"/>
    <col width="8.859999999999999" customWidth="1" style="24" min="3" max="26"/>
  </cols>
  <sheetData>
    <row r="1">
      <c r="B1" s="1" t="inlineStr">
        <is>
          <t>Taller de datos · Entrega 1 · El lago y su diccionario</t>
        </is>
      </c>
    </row>
    <row r="2">
      <c r="B2" s="3" t="inlineStr">
        <is>
          <t>Tópicos de Sistemas de Información · Profesor Santiago Jiménez Londoño · topicos-si.vercel.app/Tallerdatos</t>
        </is>
      </c>
    </row>
    <row r="3">
      <c r="B3" s="4" t="n"/>
    </row>
    <row r="4">
      <c r="B4" s="5" t="inlineStr">
        <is>
          <t>Datos del grupo</t>
        </is>
      </c>
    </row>
    <row r="5">
      <c r="B5" s="7" t="inlineStr">
        <is>
          <t>Ciudad elegida: Hong Kong</t>
        </is>
      </c>
    </row>
    <row r="6">
      <c r="B6" s="7" t="inlineStr">
        <is>
          <t xml:space="preserve">Integrantes: Juan Pablo Restrepo, Juan Zuluaga Quintero, Manuel Antonio Arenas </t>
        </is>
      </c>
    </row>
    <row r="7">
      <c r="B7" s="10" t="inlineStr">
        <is>
          <t>Enlace al repositorio o a la carpeta del lago: https://github.com/ManuelArenas1/Hong-Kong-gmdigital.git</t>
        </is>
      </c>
    </row>
    <row r="8">
      <c r="A8" t="inlineStr">
        <is>
          <t>Página: public/index.html del mismo repositorio. Este Excel se genera con pipeline/excel_grupo.py desde catalogo/fuentes.json y public/data/*.json: ninguna cifra se copia a mano.</t>
        </is>
      </c>
      <c r="B8" s="4" t="n"/>
    </row>
    <row r="9">
      <c r="B9" s="5" t="inlineStr">
        <is>
          <t>Qué entregan en este archivo</t>
        </is>
      </c>
    </row>
    <row r="10">
      <c r="B10" s="4" t="inlineStr">
        <is>
          <t>1. Fuentes · una fila por cada fuente que encontraron en el rastreo, entre o no al lago. Las descartadas también cuentan: explican las decisiones.</t>
        </is>
      </c>
    </row>
    <row r="11">
      <c r="B11" s="4" t="inlineStr">
        <is>
          <t>2. Diccionario · una fila por cada campo (columna o clave del JSON) que quedó en el lago. Si un campo no está aquí, no existe.</t>
        </is>
      </c>
    </row>
    <row r="12">
      <c r="B12" s="4" t="inlineStr">
        <is>
          <t>3. Bitácora IA · qué le encargaron a la IA durante la búsqueda, qué respondió y cómo lo comprobaron.</t>
        </is>
      </c>
    </row>
    <row r="13">
      <c r="B13" s="4" t="inlineStr">
        <is>
          <t>Resumen · se llena solo con fórmulas. No lo editen.</t>
        </is>
      </c>
    </row>
    <row r="14">
      <c r="B14" s="4" t="n"/>
    </row>
    <row r="15">
      <c r="B15" s="5" t="inlineStr">
        <is>
          <t>Cómo llenarlo</t>
        </is>
      </c>
    </row>
    <row r="16">
      <c r="B16" s="4" t="inlineStr">
        <is>
          <t>• Escriban solo en las celdas amarillas. La fila gris de cada hoja es un ejemplo (Medellín): pueden borrarla o dejarla, el resumen no la cuenta.</t>
        </is>
      </c>
    </row>
    <row r="17">
      <c r="B17" s="4" t="inlineStr">
        <is>
          <t>• El ID de fuente (F01, F02…) une las tres hojas: úsenlo igual en Fuentes, Diccionario y Bitácora IA.</t>
        </is>
      </c>
    </row>
    <row r="18">
      <c r="B18" s="4" t="inlineStr">
        <is>
          <t>• Las columnas con lista desplegable solo aceptan esas opciones.</t>
        </is>
      </c>
    </row>
    <row r="19">
      <c r="B19" s="4" t="inlineStr">
        <is>
          <t>• La licencia se copia tal como aparece en la fuente. Si la fuente no dice nada, escriban «no declara»: no la supongan.</t>
        </is>
      </c>
    </row>
    <row r="20">
      <c r="B20" s="4" t="inlineStr">
        <is>
          <t>• «Fecha en que la probaron» es el día en que la descarga o la API respondió de verdad, no el día en que la IA la mencionó.</t>
        </is>
      </c>
    </row>
    <row r="21" ht="15.75" customHeight="1" s="24">
      <c r="B21" s="4" t="inlineStr">
        <is>
          <t>• Una fuente que la IA nombró y que ustedes no pudieron abrir va igual en Fuentes, con estado «No responde» o «No existe».</t>
        </is>
      </c>
    </row>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hyperlinks>
    <hyperlink xmlns:r="http://schemas.openxmlformats.org/officeDocument/2006/relationships" ref="B7"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5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9" customWidth="1" style="24" min="1" max="1"/>
    <col width="28" customWidth="1" style="24" min="2" max="2"/>
    <col width="22" customWidth="1" style="24" min="3" max="3"/>
    <col width="18" customWidth="1" style="24" min="4" max="4"/>
    <col width="36" customWidth="1" style="24" min="5" max="5"/>
    <col width="12" customWidth="1" style="24" min="6" max="6"/>
    <col width="18" customWidth="1" style="24" min="7" max="7"/>
    <col width="22" customWidth="1" style="24" min="8" max="8"/>
    <col width="18" customWidth="1" style="24" min="9" max="9"/>
    <col width="16" customWidth="1" style="24" min="10" max="10"/>
    <col width="14" customWidth="1" style="24" min="11" max="13"/>
    <col width="20" customWidth="1" style="24" min="14" max="14"/>
    <col width="26" customWidth="1" style="24" min="15" max="15"/>
    <col width="32" customWidth="1" style="24" min="16" max="16"/>
    <col width="8.859999999999999" customWidth="1" style="24" min="17" max="26"/>
  </cols>
  <sheetData>
    <row r="1">
      <c r="A1" s="2" t="inlineStr">
        <is>
          <t>1. Catálogo de fuentes</t>
        </is>
      </c>
    </row>
    <row r="2">
      <c r="A2" s="6" t="inlineStr">
        <is>
          <t>Una fila por fuente encontrada. Escriban en las celdas amarillas; la fila gris es un ejemplo.</t>
        </is>
      </c>
    </row>
    <row r="3" ht="42" customHeight="1" s="24">
      <c r="A3" s="8" t="inlineStr">
        <is>
          <t>ID fuente</t>
        </is>
      </c>
      <c r="B3" s="8" t="inlineStr">
        <is>
          <t>Nombre del conjunto de datos</t>
        </is>
      </c>
      <c r="C3" s="8" t="inlineStr">
        <is>
          <t>Entidad que lo publica</t>
        </is>
      </c>
      <c r="D3" s="8" t="inlineStr">
        <is>
          <t>Tipo de publicador</t>
        </is>
      </c>
      <c r="E3" s="8" t="inlineStr">
        <is>
          <t>URL exacta (descarga o API)</t>
        </is>
      </c>
      <c r="F3" s="8" t="inlineStr">
        <is>
          <t>Formato</t>
        </is>
      </c>
      <c r="G3" s="8" t="inlineStr">
        <is>
          <t>Cómo se obtiene</t>
        </is>
      </c>
      <c r="H3" s="8" t="inlineStr">
        <is>
          <t>Licencia (tal como aparece)</t>
        </is>
      </c>
      <c r="I3" s="8" t="inlineStr">
        <is>
          <t>¿Trae datos de personas?</t>
        </is>
      </c>
      <c r="J3" s="8" t="inlineStr">
        <is>
          <t>Cobertura geográfica</t>
        </is>
      </c>
      <c r="K3" s="8" t="inlineStr">
        <is>
          <t>Periodo que cubre</t>
        </is>
      </c>
      <c r="L3" s="8" t="inlineStr">
        <is>
          <t>Frecuencia de actualización</t>
        </is>
      </c>
      <c r="M3" s="8" t="inlineStr">
        <is>
          <t>Fecha en que la probaron (AAAA-MM-DD)</t>
        </is>
      </c>
      <c r="N3" s="8" t="inlineStr">
        <is>
          <t>Estado</t>
        </is>
      </c>
      <c r="O3" s="8" t="inlineStr">
        <is>
          <t>Cómo la encontraron (IA o búsqueda)</t>
        </is>
      </c>
      <c r="P3" s="8" t="inlineStr">
        <is>
          <t>Observaciones</t>
        </is>
      </c>
    </row>
    <row r="4">
      <c r="A4" s="25" t="n"/>
      <c r="B4" s="26" t="inlineStr">
        <is>
          <t>(fila de ejemplo de la plantilla: el resumen no la cuenta; las fuentes empiezan en la fila 5)</t>
        </is>
      </c>
      <c r="C4" s="26" t="n"/>
      <c r="D4" s="26" t="n"/>
      <c r="E4" s="27" t="n"/>
      <c r="F4" s="26" t="n"/>
      <c r="G4" s="26" t="n"/>
      <c r="H4" s="26" t="n"/>
      <c r="I4" s="26" t="n"/>
      <c r="J4" s="26" t="n"/>
      <c r="K4" s="26" t="n"/>
      <c r="L4" s="26" t="n"/>
      <c r="M4" s="28" t="n"/>
      <c r="N4" s="26" t="n"/>
      <c r="O4" s="26" t="n"/>
      <c r="P4" s="26" t="n"/>
      <c r="Q4" s="18" t="n"/>
      <c r="R4" s="18" t="n"/>
      <c r="S4" s="18" t="n"/>
      <c r="T4" s="18" t="n"/>
      <c r="U4" s="18" t="n"/>
      <c r="V4" s="18" t="n"/>
      <c r="W4" s="18" t="n"/>
      <c r="X4" s="18" t="n"/>
      <c r="Y4" s="18" t="n"/>
      <c r="Z4" s="18" t="n"/>
    </row>
    <row r="5">
      <c r="A5" s="29" t="inlineStr">
        <is>
          <t>F01</t>
        </is>
      </c>
      <c r="B5" s="29" t="inlineStr">
        <is>
          <t>Estimación de población a mediados de 2026</t>
        </is>
      </c>
      <c r="C5" s="29" t="inlineStr">
        <is>
          <t>Census and Statistics Department (C&amp;SD)</t>
        </is>
      </c>
      <c r="D5" s="29" t="inlineStr">
        <is>
          <t>Entidad pública</t>
        </is>
      </c>
      <c r="E5" s="30" t="inlineStr">
        <is>
          <t>https://www.censtatd.gov.hk/en/scode150.html</t>
        </is>
      </c>
      <c r="F5" s="29" t="inlineStr">
        <is>
          <t>Página web</t>
        </is>
      </c>
      <c r="G5" s="29" t="inlineStr">
        <is>
          <t>Solo PDF o página</t>
        </is>
      </c>
      <c r="H5" s="29" t="inlineStr">
        <is>
          <t>not verified — la página de avisos del sitio no se pudo abrir desde la herramienta; copiar a mano</t>
        </is>
      </c>
      <c r="I5" s="29" t="inlineStr">
        <is>
          <t>No</t>
        </is>
      </c>
      <c r="J5" s="29" t="inlineStr">
        <is>
          <t>Hong Kong (RAE)</t>
        </is>
      </c>
      <c r="K5" s="29" t="inlineStr">
        <is>
          <t>mediados de 2026</t>
        </is>
      </c>
      <c r="L5" s="29" t="inlineStr">
        <is>
          <t>Anual</t>
        </is>
      </c>
      <c r="M5" s="31" t="n">
        <v>46286</v>
      </c>
      <c r="N5" s="29" t="inlineStr">
        <is>
          <t>Integrada al lago</t>
        </is>
      </c>
      <c r="O5" s="29" t="inlineStr">
        <is>
          <t>IA (Claude) propuso C&amp;SD; verificado en el portal</t>
        </is>
      </c>
      <c r="P5" s="29" t="inlineStr">
        <is>
          <t>Cifra provisional 7.518.300. Licencia leída en: https://www.censtatd.gov.hk/ Archivos del lago: public/data/perfil_wiki.json</t>
        </is>
      </c>
      <c r="Q5" s="18" t="n"/>
      <c r="R5" s="18" t="n"/>
      <c r="S5" s="18" t="n"/>
      <c r="T5" s="18" t="n"/>
      <c r="U5" s="18" t="n"/>
      <c r="V5" s="18" t="n"/>
      <c r="W5" s="18" t="n"/>
      <c r="X5" s="18" t="n"/>
      <c r="Y5" s="18" t="n"/>
      <c r="Z5" s="18" t="n"/>
    </row>
    <row r="6">
      <c r="A6" s="29" t="inlineStr">
        <is>
          <t>F02</t>
        </is>
      </c>
      <c r="B6" s="29" t="inlineStr">
        <is>
          <t>Proyecciones de población 2022–2046</t>
        </is>
      </c>
      <c r="C6" s="29" t="inlineStr">
        <is>
          <t>Census and Statistics Department (C&amp;SD)</t>
        </is>
      </c>
      <c r="D6" s="29" t="inlineStr">
        <is>
          <t>Entidad pública</t>
        </is>
      </c>
      <c r="E6" s="30" t="inlineStr">
        <is>
          <t>https://www.censtatd.gov.hk/en/EIndexbySubject.html?pcode=B1120015&amp;scode=190</t>
        </is>
      </c>
      <c r="F6" s="29" t="inlineStr">
        <is>
          <t>XLSX</t>
        </is>
      </c>
      <c r="G6" s="29" t="inlineStr">
        <is>
          <t>Descarga directa</t>
        </is>
      </c>
      <c r="H6" s="29" t="inlineStr">
        <is>
          <t>“You are allowed to browse, download, distribute, reproduce, hyperlink to, and print the Data for both commercial and non-commercial purposes on a free-of-charge basis on condition that:- you shall identify clearly the source of the Data … you shall also give proper attribution to the Government, the Relevant Organisations and DATA.GOV.HK” — DATA.GOV.HK Terms and Conditions</t>
        </is>
      </c>
      <c r="I6" s="29" t="inlineStr">
        <is>
          <t>No</t>
        </is>
      </c>
      <c r="J6" s="29" t="inlineStr">
        <is>
          <t>Hong Kong (RAE)</t>
        </is>
      </c>
      <c r="K6" s="29" t="inlineStr">
        <is>
          <t>2022–2046 (base mid-2021)</t>
        </is>
      </c>
      <c r="L6" s="29" t="inlineStr">
        <is>
          <t>No se sabe</t>
        </is>
      </c>
      <c r="M6" s="31" t="n">
        <v>46288</v>
      </c>
      <c r="N6" s="29" t="inlineStr">
        <is>
          <t>Integrada al lago</t>
        </is>
      </c>
      <c r="O6" s="29" t="inlineStr">
        <is>
          <t>IA (Claude) + verificación en DATA.GOV.HK</t>
        </is>
      </c>
      <c r="P6" s="29" t="inlineStr">
        <is>
          <t>Base de la proyección excluye empleadas domésticas extranjeras: por eso su % de 65+ (20,5 %) difiere del censo (19,6 %). Licencia leída en: https://data.gov.hk/en/terms-and-conditions Archivos del lago: public/data/perfil_wiki.json</t>
        </is>
      </c>
      <c r="Q6" s="18" t="n"/>
      <c r="R6" s="18" t="n"/>
      <c r="S6" s="18" t="n"/>
      <c r="T6" s="18" t="n"/>
      <c r="U6" s="18" t="n"/>
      <c r="V6" s="18" t="n"/>
      <c r="W6" s="18" t="n"/>
      <c r="X6" s="18" t="n"/>
      <c r="Y6" s="18" t="n"/>
      <c r="Z6" s="18" t="n"/>
    </row>
    <row r="7">
      <c r="A7" s="29" t="inlineStr">
        <is>
          <t>F03</t>
        </is>
      </c>
      <c r="B7" s="29" t="inlineStr">
        <is>
          <t>Características educativas de la población (Censo 2021)</t>
        </is>
      </c>
      <c r="C7" s="29" t="inlineStr">
        <is>
          <t>Census and Statistics Department (C&amp;SD)</t>
        </is>
      </c>
      <c r="D7" s="29" t="inlineStr">
        <is>
          <t>Entidad pública</t>
        </is>
      </c>
      <c r="E7" s="30" t="inlineStr">
        <is>
          <t>https://www.census2021.gov.hk/doc/pub/21C_Articles_Educational.pdf</t>
        </is>
      </c>
      <c r="F7" s="29" t="inlineStr">
        <is>
          <t>PDF</t>
        </is>
      </c>
      <c r="G7" s="29" t="inlineStr">
        <is>
          <t>Descarga directa</t>
        </is>
      </c>
      <c r="H7" s="29" t="inlineStr">
        <is>
          <t>not verified — la página de avisos del sitio no se pudo abrir desde la herramienta; copiar a mano</t>
        </is>
      </c>
      <c r="I7" s="29" t="inlineStr">
        <is>
          <t>No</t>
        </is>
      </c>
      <c r="J7" s="29" t="inlineStr">
        <is>
          <t>Hong Kong (RAE)</t>
        </is>
      </c>
      <c r="K7" s="29" t="inlineStr">
        <is>
          <t>2011 vs 2021</t>
        </is>
      </c>
      <c r="L7" s="29" t="inlineStr">
        <is>
          <t>Única vez</t>
        </is>
      </c>
      <c r="M7" s="31" t="n">
        <v>46288</v>
      </c>
      <c r="N7" s="29" t="inlineStr">
        <is>
          <t>Integrada al lago</t>
        </is>
      </c>
      <c r="O7" s="29" t="inlineStr">
        <is>
          <t>IA (Claude) + verificación en el sitio del Censo</t>
        </is>
      </c>
      <c r="P7" s="29" t="inlineStr">
        <is>
          <t>«Educación superior» incluye no universitaria; el lago (F20) solo trae título universitario. Licencia leída en: https://www.census2021.gov.hk/ Archivos del lago: public/data/perfil_wiki.json</t>
        </is>
      </c>
      <c r="Q7" s="18" t="n"/>
      <c r="R7" s="18" t="n"/>
      <c r="S7" s="18" t="n"/>
      <c r="T7" s="18" t="n"/>
      <c r="U7" s="18" t="n"/>
      <c r="V7" s="18" t="n"/>
      <c r="W7" s="18" t="n"/>
      <c r="X7" s="18" t="n"/>
      <c r="Y7" s="18" t="n"/>
      <c r="Z7" s="18" t="n"/>
    </row>
    <row r="8">
      <c r="A8" s="29" t="inlineStr">
        <is>
          <t>F04</t>
        </is>
      </c>
      <c r="B8" s="29" t="inlineStr">
        <is>
          <t>Tasa bruta de natalidad y mortalidad 1981–2025</t>
        </is>
      </c>
      <c r="C8" s="29" t="inlineStr">
        <is>
          <t>Centre for Health Protection, Department of Health</t>
        </is>
      </c>
      <c r="D8" s="29" t="inlineStr">
        <is>
          <t>Entidad pública</t>
        </is>
      </c>
      <c r="E8" s="30" t="inlineStr">
        <is>
          <t>https://www.chp.gov.hk/en/statistics/data/10/27/112.html</t>
        </is>
      </c>
      <c r="F8" s="29" t="inlineStr">
        <is>
          <t>Página web</t>
        </is>
      </c>
      <c r="G8" s="29" t="inlineStr">
        <is>
          <t>Solo PDF o página</t>
        </is>
      </c>
      <c r="H8" s="29" t="inlineStr">
        <is>
          <t>not verified — la página de avisos del sitio no se pudo abrir desde la herramienta; copiar a mano</t>
        </is>
      </c>
      <c r="I8" s="29" t="inlineStr">
        <is>
          <t>No</t>
        </is>
      </c>
      <c r="J8" s="29" t="inlineStr">
        <is>
          <t>Hong Kong (RAE)</t>
        </is>
      </c>
      <c r="K8" s="29" t="inlineStr">
        <is>
          <t>1981–2025</t>
        </is>
      </c>
      <c r="L8" s="29" t="inlineStr">
        <is>
          <t>Anual</t>
        </is>
      </c>
      <c r="M8" s="31" t="n">
        <v>46288</v>
      </c>
      <c r="N8" s="29" t="inlineStr">
        <is>
          <t>Integrada al lago</t>
        </is>
      </c>
      <c r="O8" s="29" t="inlineStr">
        <is>
          <t>IA (Claude) + verificación en CHP</t>
        </is>
      </c>
      <c r="P8" s="29" t="inlineStr">
        <is>
          <t>Sirvió para descartar la TFR de Macrotrends (F17). Licencia leída en: https://www.chp.gov.hk/ Archivos del lago: public/data/perfil_wiki.json</t>
        </is>
      </c>
      <c r="Q8" s="18" t="n"/>
      <c r="R8" s="18" t="n"/>
      <c r="S8" s="18" t="n"/>
      <c r="T8" s="18" t="n"/>
      <c r="U8" s="18" t="n"/>
      <c r="V8" s="18" t="n"/>
      <c r="W8" s="18" t="n"/>
      <c r="X8" s="18" t="n"/>
      <c r="Y8" s="18" t="n"/>
      <c r="Z8" s="18" t="n"/>
    </row>
    <row r="9">
      <c r="A9" s="29" t="inlineStr">
        <is>
          <t>F05</t>
        </is>
      </c>
      <c r="B9" s="29" t="inlineStr">
        <is>
          <t>Hong Kong Property Review 2026 (precio, renta, vacancia)</t>
        </is>
      </c>
      <c r="C9" s="29" t="inlineStr">
        <is>
          <t>Rating and Valuation Department (RVD)</t>
        </is>
      </c>
      <c r="D9" s="29" t="inlineStr">
        <is>
          <t>Entidad pública</t>
        </is>
      </c>
      <c r="E9" s="30" t="inlineStr">
        <is>
          <t>https://www.rvd.gov.hk/en/publications/property_market_statistics.html</t>
        </is>
      </c>
      <c r="F9" s="29" t="inlineStr">
        <is>
          <t>PDF</t>
        </is>
      </c>
      <c r="G9" s="29" t="inlineStr">
        <is>
          <t>Descarga directa</t>
        </is>
      </c>
      <c r="H9" s="29" t="inlineStr">
        <is>
          <t>not verified — la página de avisos del sitio no se pudo abrir desde la herramienta; copiar a mano</t>
        </is>
      </c>
      <c r="I9" s="29" t="inlineStr">
        <is>
          <t>No</t>
        </is>
      </c>
      <c r="J9" s="29" t="inlineStr">
        <is>
          <t>Hong Kong (RAE)</t>
        </is>
      </c>
      <c r="K9" s="29" t="inlineStr">
        <is>
          <t>hasta 2025/2026</t>
        </is>
      </c>
      <c r="L9" s="29" t="inlineStr">
        <is>
          <t>Mensual</t>
        </is>
      </c>
      <c r="M9" s="31" t="n">
        <v>46288</v>
      </c>
      <c r="N9" s="29" t="inlineStr">
        <is>
          <t>Integrada al lago</t>
        </is>
      </c>
      <c r="O9" s="29" t="inlineStr">
        <is>
          <t>IA (Claude) + verificación en RVD</t>
        </is>
      </c>
      <c r="P9" s="29" t="inlineStr">
        <is>
          <t>Licencia leída en: https://www.rvd.gov.hk/ Archivos del lago: public/data/perfil_wiki.json</t>
        </is>
      </c>
      <c r="Q9" s="18" t="n"/>
      <c r="R9" s="18" t="n"/>
      <c r="S9" s="18" t="n"/>
      <c r="T9" s="18" t="n"/>
      <c r="U9" s="18" t="n"/>
      <c r="V9" s="18" t="n"/>
      <c r="W9" s="18" t="n"/>
      <c r="X9" s="18" t="n"/>
      <c r="Y9" s="18" t="n"/>
      <c r="Z9" s="18" t="n"/>
    </row>
    <row r="10">
      <c r="A10" s="29" t="inlineStr">
        <is>
          <t>F06</t>
        </is>
      </c>
      <c r="B10" s="29" t="inlineStr">
        <is>
          <t>Housing in Figures 2025 / Hong Kong: The Facts – Housing</t>
        </is>
      </c>
      <c r="C10" s="29" t="inlineStr">
        <is>
          <t>Housing Bureau / Hong Kong Housing Authority</t>
        </is>
      </c>
      <c r="D10" s="29" t="inlineStr">
        <is>
          <t>Entidad pública</t>
        </is>
      </c>
      <c r="E10" s="30" t="inlineStr">
        <is>
          <t>https://www.hb.gov.hk/eng/publications/housing/HIF2025.pdf</t>
        </is>
      </c>
      <c r="F10" s="29" t="inlineStr">
        <is>
          <t>PDF</t>
        </is>
      </c>
      <c r="G10" s="29" t="inlineStr">
        <is>
          <t>Descarga directa</t>
        </is>
      </c>
      <c r="H10" s="29" t="inlineStr">
        <is>
          <t>no declara</t>
        </is>
      </c>
      <c r="I10" s="29" t="inlineStr">
        <is>
          <t>No</t>
        </is>
      </c>
      <c r="J10" s="29" t="inlineStr">
        <is>
          <t>Hong Kong (RAE)</t>
        </is>
      </c>
      <c r="K10" s="29" t="inlineStr">
        <is>
          <t>2024/2025</t>
        </is>
      </c>
      <c r="L10" s="29" t="inlineStr">
        <is>
          <t>Anual</t>
        </is>
      </c>
      <c r="M10" s="31" t="n">
        <v>46288</v>
      </c>
      <c r="N10" s="29" t="inlineStr">
        <is>
          <t>Integrada al lago</t>
        </is>
      </c>
      <c r="O10" s="29" t="inlineStr">
        <is>
          <t>IA (Claude) + verificación en Housing Bureau</t>
        </is>
      </c>
      <c r="P10" s="29" t="inlineStr">
        <is>
          <t>La página de avisos de hb.gov.hk no trae aviso de copyright; solo: “The information contained in this website is compiled by the Housing Bureau of the Government”. Licencia leída en: https://hb.gov.hk/eng/notice/disclaimer.html Archivos del lago: public/data/perfil_wiki.json</t>
        </is>
      </c>
      <c r="Q10" s="18" t="n"/>
      <c r="R10" s="18" t="n"/>
      <c r="S10" s="18" t="n"/>
      <c r="T10" s="18" t="n"/>
      <c r="U10" s="18" t="n"/>
      <c r="V10" s="18" t="n"/>
      <c r="W10" s="18" t="n"/>
      <c r="X10" s="18" t="n"/>
      <c r="Y10" s="18" t="n"/>
      <c r="Z10" s="18" t="n"/>
    </row>
    <row r="11">
      <c r="A11" s="29" t="inlineStr">
        <is>
          <t>F07</t>
        </is>
      </c>
      <c r="B11" s="29" t="inlineStr">
        <is>
          <t>Land and Housing 2025</t>
        </is>
      </c>
      <c r="C11" s="29" t="inlineStr">
        <is>
          <t>Our Hong Kong Foundation (OHKF)</t>
        </is>
      </c>
      <c r="D11" s="29" t="inlineStr">
        <is>
          <t>Academia u ONG</t>
        </is>
      </c>
      <c r="E11" s="30" t="inlineStr">
        <is>
          <t>https://s3.ourhkfoundation.org.hk/s3fs-public/2025-04/Land-and-Housing-2025_full-report_EN.pdf</t>
        </is>
      </c>
      <c r="F11" s="29" t="inlineStr">
        <is>
          <t>PDF</t>
        </is>
      </c>
      <c r="G11" s="29" t="inlineStr">
        <is>
          <t>Descarga directa</t>
        </is>
      </c>
      <c r="H11" s="29" t="inlineStr">
        <is>
          <t>not verified — la página de avisos del sitio no se pudo abrir desde la herramienta; copiar a mano</t>
        </is>
      </c>
      <c r="I11" s="29" t="inlineStr">
        <is>
          <t>No</t>
        </is>
      </c>
      <c r="J11" s="29" t="inlineStr">
        <is>
          <t>Hong Kong (RAE)</t>
        </is>
      </c>
      <c r="K11" s="29" t="inlineStr">
        <is>
          <t>2025–2029</t>
        </is>
      </c>
      <c r="L11" s="29" t="inlineStr">
        <is>
          <t>Anual</t>
        </is>
      </c>
      <c r="M11" s="31" t="n">
        <v>46288</v>
      </c>
      <c r="N11" s="29" t="inlineStr">
        <is>
          <t>Candidata</t>
        </is>
      </c>
      <c r="O11" s="29" t="inlineStr">
        <is>
          <t>IA (Claude) + verificación en OHKF</t>
        </is>
      </c>
      <c r="P11" s="29" t="inlineStr">
        <is>
          <t>Think tank; solo contexto. Licencia leída en: https://www.ourhkfoundation.org.hk/ Archivos del lago: public/data/perfil_wiki.json</t>
        </is>
      </c>
      <c r="Q11" s="18" t="n"/>
      <c r="R11" s="18" t="n"/>
      <c r="S11" s="18" t="n"/>
      <c r="T11" s="18" t="n"/>
      <c r="U11" s="18" t="n"/>
      <c r="V11" s="18" t="n"/>
      <c r="W11" s="18" t="n"/>
      <c r="X11" s="18" t="n"/>
      <c r="Y11" s="18" t="n"/>
      <c r="Z11" s="18" t="n"/>
    </row>
    <row r="12">
      <c r="A12" s="29" t="inlineStr">
        <is>
          <t>F08</t>
        </is>
      </c>
      <c r="B12" s="29" t="inlineStr">
        <is>
          <t>The 2026-27 Budget</t>
        </is>
      </c>
      <c r="C12" s="29" t="inlineStr">
        <is>
          <t>Financial Secretary — Gobierno de la RAE de HK</t>
        </is>
      </c>
      <c r="D12" s="29" t="inlineStr">
        <is>
          <t>Entidad pública</t>
        </is>
      </c>
      <c r="E12" s="30" t="inlineStr">
        <is>
          <t>https://www.budget.gov.hk/2026/eng/budget54.html</t>
        </is>
      </c>
      <c r="F12" s="29" t="inlineStr">
        <is>
          <t>Página web</t>
        </is>
      </c>
      <c r="G12" s="29" t="inlineStr">
        <is>
          <t>Solo PDF o página</t>
        </is>
      </c>
      <c r="H12" s="29" t="inlineStr">
        <is>
          <t>“Unless otherwise indicated, the materials found on this site are subject to copyright owned by the Government of the Hong Kong Special Administrative Region. Permission is required in adopting, reproducing or redistributing photographs, graphics, and audio and video materials on this website.” — budget.gov.hk Important Notices</t>
        </is>
      </c>
      <c r="I12" s="29" t="inlineStr">
        <is>
          <t>No</t>
        </is>
      </c>
      <c r="J12" s="29" t="inlineStr">
        <is>
          <t>Hong Kong (RAE)</t>
        </is>
      </c>
      <c r="K12" s="29" t="inlineStr">
        <is>
          <t>Año fiscal 2026-27</t>
        </is>
      </c>
      <c r="L12" s="29" t="inlineStr">
        <is>
          <t>Anual</t>
        </is>
      </c>
      <c r="M12" s="31" t="n">
        <v>46288</v>
      </c>
      <c r="N12" s="29" t="inlineStr">
        <is>
          <t>Integrada al lago</t>
        </is>
      </c>
      <c r="O12" s="29" t="inlineStr">
        <is>
          <t>IA (Claude) + verificación en budget.gov.hk</t>
        </is>
      </c>
      <c r="P12" s="29" t="inlineStr">
        <is>
          <t>Se citan cifras puntuales (texto), no se reproducen gráficos ni fotos. Licencia leída en: https://www.budget.gov.hk/2026/eng/notices.html Archivos del lago: public/data/perfil_wiki.json</t>
        </is>
      </c>
      <c r="Q12" s="18" t="n"/>
      <c r="R12" s="18" t="n"/>
      <c r="S12" s="18" t="n"/>
      <c r="T12" s="18" t="n"/>
      <c r="U12" s="18" t="n"/>
      <c r="V12" s="18" t="n"/>
      <c r="W12" s="18" t="n"/>
      <c r="X12" s="18" t="n"/>
      <c r="Y12" s="18" t="n"/>
      <c r="Z12" s="18" t="n"/>
    </row>
    <row r="13">
      <c r="A13" s="29" t="inlineStr">
        <is>
          <t>F09</t>
        </is>
      </c>
      <c r="B13" s="29" t="inlineStr">
        <is>
          <t>The Four Key Industries in the Hong Kong Economy (FA100099)</t>
        </is>
      </c>
      <c r="C13" s="29" t="inlineStr">
        <is>
          <t>Census and Statistics Department (C&amp;SD)</t>
        </is>
      </c>
      <c r="D13" s="29" t="inlineStr">
        <is>
          <t>Entidad pública</t>
        </is>
      </c>
      <c r="E13" s="30" t="inlineStr">
        <is>
          <t>https://www.censtatd.gov.hk/en/scode80.html?productCode=FA100099</t>
        </is>
      </c>
      <c r="F13" s="29" t="inlineStr">
        <is>
          <t>XLSX</t>
        </is>
      </c>
      <c r="G13" s="29" t="inlineStr">
        <is>
          <t>Descarga directa</t>
        </is>
      </c>
      <c r="H13" s="29" t="inlineStr">
        <is>
          <t>not verified — la página de avisos del sitio no se pudo abrir desde la herramienta; copiar a mano</t>
        </is>
      </c>
      <c r="I13" s="29" t="inlineStr">
        <is>
          <t>No</t>
        </is>
      </c>
      <c r="J13" s="29" t="inlineStr">
        <is>
          <t>Hong Kong (RAE)</t>
        </is>
      </c>
      <c r="K13" s="29" t="inlineStr">
        <is>
          <t>2024</t>
        </is>
      </c>
      <c r="L13" s="29" t="inlineStr">
        <is>
          <t>Anual</t>
        </is>
      </c>
      <c r="M13" s="31" t="n">
        <v>46288</v>
      </c>
      <c r="N13" s="29" t="inlineStr">
        <is>
          <t>Integrada al lago</t>
        </is>
      </c>
      <c r="O13" s="29" t="inlineStr">
        <is>
          <t>IA (Claude) + verificación en C&amp;SD</t>
        </is>
      </c>
      <c r="P13" s="29" t="inlineStr">
        <is>
          <t>Licencia leída en: https://www.censtatd.gov.hk/ Archivos del lago: public/data/perfil_wiki.json</t>
        </is>
      </c>
      <c r="Q13" s="18" t="n"/>
      <c r="R13" s="18" t="n"/>
      <c r="S13" s="18" t="n"/>
      <c r="T13" s="18" t="n"/>
      <c r="U13" s="18" t="n"/>
      <c r="V13" s="18" t="n"/>
      <c r="W13" s="18" t="n"/>
      <c r="X13" s="18" t="n"/>
      <c r="Y13" s="18" t="n"/>
      <c r="Z13" s="18" t="n"/>
    </row>
    <row r="14">
      <c r="A14" s="29" t="inlineStr">
        <is>
          <t>F10</t>
        </is>
      </c>
      <c r="B14" s="29" t="inlineStr">
        <is>
          <t>Situación de ley y orden 2025 / Police in Figures 2025</t>
        </is>
      </c>
      <c r="C14" s="29" t="inlineStr">
        <is>
          <t>Hong Kong Police Force (HKPF)</t>
        </is>
      </c>
      <c r="D14" s="29" t="inlineStr">
        <is>
          <t>Entidad pública</t>
        </is>
      </c>
      <c r="E14" s="30" t="inlineStr">
        <is>
          <t>https://www.police.gov.hk/ppp_en/09_statistics/csd.html</t>
        </is>
      </c>
      <c r="F14" s="29" t="inlineStr">
        <is>
          <t>Página web</t>
        </is>
      </c>
      <c r="G14" s="29" t="inlineStr">
        <is>
          <t>Solo PDF o página</t>
        </is>
      </c>
      <c r="H14" s="29" t="inlineStr">
        <is>
          <t>“The Government and the HKPF are the owner of all copyright works contained in this website. Any reproduction, adaptation, distribution, dissemination or making available of such copyright works to the public is strictly prohibited unless prior written authorization is obtained from HKPF.” — police.gov.hk Important Notices</t>
        </is>
      </c>
      <c r="I14" s="29" t="inlineStr">
        <is>
          <t>Solo conteos por zona</t>
        </is>
      </c>
      <c r="J14" s="29" t="inlineStr">
        <is>
          <t>Hong Kong (RAE)</t>
        </is>
      </c>
      <c r="K14" s="29" t="inlineStr">
        <is>
          <t>2024–2025</t>
        </is>
      </c>
      <c r="L14" s="29" t="inlineStr">
        <is>
          <t>Anual</t>
        </is>
      </c>
      <c r="M14" s="31" t="n">
        <v>46288</v>
      </c>
      <c r="N14" s="29" t="inlineStr">
        <is>
          <t>Integrada al lago</t>
        </is>
      </c>
      <c r="O14" s="29" t="inlineStr">
        <is>
          <t>IA (Claude) + verificación en HKPF</t>
        </is>
      </c>
      <c r="P14" s="29" t="inlineStr">
        <is>
          <t>Licencia restrictiva: se citan cifras agregadas con atribución; no se redistribuye contenido del sitio. Pedir autorización si el tablero se publica. Riesgo de licencia: restrictiva. Licencia leída en: https://www.police.gov.hk/ppp_en/11_useful_info/disclaimer.html Archivos del lago: public/data/panorama.json, public/data/economia.json, public/data/perfil_wiki.json</t>
        </is>
      </c>
      <c r="Q14" s="18" t="n"/>
      <c r="R14" s="18" t="n"/>
      <c r="S14" s="18" t="n"/>
      <c r="T14" s="18" t="n"/>
      <c r="U14" s="18" t="n"/>
      <c r="V14" s="18" t="n"/>
      <c r="W14" s="18" t="n"/>
      <c r="X14" s="18" t="n"/>
      <c r="Y14" s="18" t="n"/>
      <c r="Z14" s="18" t="n"/>
    </row>
    <row r="15">
      <c r="A15" s="29" t="inlineStr">
        <is>
          <t>F11</t>
        </is>
      </c>
      <c r="B15" s="29" t="inlineStr">
        <is>
          <t>Corruption Perceptions Index 2025</t>
        </is>
      </c>
      <c r="C15" s="29" t="inlineStr">
        <is>
          <t>Transparency International (difundido por ICAC)</t>
        </is>
      </c>
      <c r="D15" s="29" t="inlineStr">
        <is>
          <t>Academia u ONG</t>
        </is>
      </c>
      <c r="E15" s="30" t="inlineStr">
        <is>
          <t>https://www.icac.org.hk/en/intl-persp/ranking-and-research/corruption-perceptions-index/index.html</t>
        </is>
      </c>
      <c r="F15" s="29" t="inlineStr">
        <is>
          <t>Página web</t>
        </is>
      </c>
      <c r="G15" s="29" t="inlineStr">
        <is>
          <t>Solo PDF o página</t>
        </is>
      </c>
      <c r="H15" s="29" t="inlineStr">
        <is>
          <t>“Except where otherwise noted, this work is licensed under CC BY-ND 4.0” — transparency.org (CPI publication page)</t>
        </is>
      </c>
      <c r="I15" s="29" t="inlineStr">
        <is>
          <t>No</t>
        </is>
      </c>
      <c r="J15" s="29" t="inlineStr">
        <is>
          <t>Internacional (incluye HK)</t>
        </is>
      </c>
      <c r="K15" s="29" t="inlineStr">
        <is>
          <t>2025</t>
        </is>
      </c>
      <c r="L15" s="29" t="inlineStr">
        <is>
          <t>Anual</t>
        </is>
      </c>
      <c r="M15" s="31" t="n">
        <v>46288</v>
      </c>
      <c r="N15" s="29" t="inlineStr">
        <is>
          <t>Integrada al lago</t>
        </is>
      </c>
      <c r="O15" s="29" t="inlineStr">
        <is>
          <t>IA (Claude) + verificación en ICAC y TI</t>
        </is>
      </c>
      <c r="P15" s="29" t="inlineStr">
        <is>
          <t>CC BY-ND: se cita el puntaje sin modificarlo. Licencia leída en: https://www.transparency.org/en/publications/corruption-perceptions-index-2024 Archivos del lago: public/data/perfil_wiki.json</t>
        </is>
      </c>
      <c r="Q15" s="18" t="n"/>
      <c r="R15" s="18" t="n"/>
      <c r="S15" s="18" t="n"/>
      <c r="T15" s="18" t="n"/>
      <c r="U15" s="18" t="n"/>
      <c r="V15" s="18" t="n"/>
      <c r="W15" s="18" t="n"/>
      <c r="X15" s="18" t="n"/>
      <c r="Y15" s="18" t="n"/>
      <c r="Z15" s="18" t="n"/>
    </row>
    <row r="16">
      <c r="A16" s="29" t="inlineStr">
        <is>
          <t>F12</t>
        </is>
      </c>
      <c r="B16" s="29" t="inlineStr">
        <is>
          <t>Hong Kong: The Facts – Tourism</t>
        </is>
      </c>
      <c r="C16" s="29" t="inlineStr">
        <is>
          <t>gov.hk (datos de HKTB y C&amp;SD)</t>
        </is>
      </c>
      <c r="D16" s="29" t="inlineStr">
        <is>
          <t>Entidad pública</t>
        </is>
      </c>
      <c r="E16" s="30" t="inlineStr">
        <is>
          <t>https://www.gov.hk/en/about/abouthk/factsheets/docs/tourism.pdf</t>
        </is>
      </c>
      <c r="F16" s="29" t="inlineStr">
        <is>
          <t>PDF</t>
        </is>
      </c>
      <c r="G16" s="29" t="inlineStr">
        <is>
          <t>Descarga directa</t>
        </is>
      </c>
      <c r="H16" s="29" t="inlineStr">
        <is>
          <t>not verified — la página de avisos del sitio no se pudo abrir desde la herramienta; copiar a mano</t>
        </is>
      </c>
      <c r="I16" s="29" t="inlineStr">
        <is>
          <t>No</t>
        </is>
      </c>
      <c r="J16" s="29" t="inlineStr">
        <is>
          <t>Hong Kong (RAE)</t>
        </is>
      </c>
      <c r="K16" s="29" t="inlineStr">
        <is>
          <t>2024/2025</t>
        </is>
      </c>
      <c r="L16" s="29" t="inlineStr">
        <is>
          <t>Anual</t>
        </is>
      </c>
      <c r="M16" s="31" t="n">
        <v>46288</v>
      </c>
      <c r="N16" s="29" t="inlineStr">
        <is>
          <t>Integrada al lago</t>
        </is>
      </c>
      <c r="O16" s="29" t="inlineStr">
        <is>
          <t>IA (Claude) + verificación en gov.hk</t>
        </is>
      </c>
      <c r="P16" s="29" t="inlineStr">
        <is>
          <t>Licencia leída en: https://www.gov.hk/ Archivos del lago: public/data/perfil_wiki.json</t>
        </is>
      </c>
      <c r="Q16" s="18" t="n"/>
      <c r="R16" s="18" t="n"/>
      <c r="S16" s="18" t="n"/>
      <c r="T16" s="18" t="n"/>
      <c r="U16" s="18" t="n"/>
      <c r="V16" s="18" t="n"/>
      <c r="W16" s="18" t="n"/>
      <c r="X16" s="18" t="n"/>
      <c r="Y16" s="18" t="n"/>
      <c r="Z16" s="18" t="n"/>
    </row>
    <row r="17">
      <c r="A17" s="29" t="inlineStr">
        <is>
          <t>F13</t>
        </is>
      </c>
      <c r="B17" s="29" t="inlineStr">
        <is>
          <t>Hong Kong: The Facts – Country Parks and Special Areas</t>
        </is>
      </c>
      <c r="C17" s="29" t="inlineStr">
        <is>
          <t>Agriculture, Fisheries and Conservation Department (AFCD)</t>
        </is>
      </c>
      <c r="D17" s="29" t="inlineStr">
        <is>
          <t>Entidad pública</t>
        </is>
      </c>
      <c r="E17" s="30" t="inlineStr">
        <is>
          <t>https://www.afcd.gov.hk/english/country/cou_lea/the_facts.html</t>
        </is>
      </c>
      <c r="F17" s="29" t="inlineStr">
        <is>
          <t>Página web</t>
        </is>
      </c>
      <c r="G17" s="29" t="inlineStr">
        <is>
          <t>Solo PDF o página</t>
        </is>
      </c>
      <c r="H17" s="29" t="inlineStr">
        <is>
          <t>not verified — la página de avisos del sitio no se pudo abrir desde la herramienta; copiar a mano</t>
        </is>
      </c>
      <c r="I17" s="29" t="inlineStr">
        <is>
          <t>No</t>
        </is>
      </c>
      <c r="J17" s="29" t="inlineStr">
        <is>
          <t>Hong Kong (RAE) por parque</t>
        </is>
      </c>
      <c r="K17" s="29" t="inlineStr">
        <is>
          <t>al 01-03-2024</t>
        </is>
      </c>
      <c r="L17" s="29" t="inlineStr">
        <is>
          <t>No se sabe</t>
        </is>
      </c>
      <c r="M17" s="31" t="n">
        <v>46288</v>
      </c>
      <c r="N17" s="29" t="inlineStr">
        <is>
          <t>Integrada al lago</t>
        </is>
      </c>
      <c r="O17" s="29" t="inlineStr">
        <is>
          <t>IA (Claude) + verificación en AFCD</t>
        </is>
      </c>
      <c r="P17" s="29" t="inlineStr">
        <is>
          <t>Licencia leída en: https://www.afcd.gov.hk/ Archivos del lago: public/data/perfil_wiki.json</t>
        </is>
      </c>
      <c r="Q17" s="18" t="n"/>
      <c r="R17" s="18" t="n"/>
      <c r="S17" s="18" t="n"/>
      <c r="T17" s="18" t="n"/>
      <c r="U17" s="18" t="n"/>
      <c r="V17" s="18" t="n"/>
      <c r="W17" s="18" t="n"/>
      <c r="X17" s="18" t="n"/>
      <c r="Y17" s="18" t="n"/>
      <c r="Z17" s="18" t="n"/>
    </row>
    <row r="18">
      <c r="A18" s="29" t="inlineStr">
        <is>
          <t>F14</t>
        </is>
      </c>
      <c r="B18" s="29" t="inlineStr">
        <is>
          <t>Hong Kong: The Facts – Water Supplies</t>
        </is>
      </c>
      <c r="C18" s="29" t="inlineStr">
        <is>
          <t>Water Supplies Department (WSD)</t>
        </is>
      </c>
      <c r="D18" s="29" t="inlineStr">
        <is>
          <t>Entidad pública</t>
        </is>
      </c>
      <c r="E18" s="30" t="inlineStr">
        <is>
          <t>https://www.wsd.gov.hk/en/publications-and-statistics/pr-publications/the-facts/index.html</t>
        </is>
      </c>
      <c r="F18" s="29" t="inlineStr">
        <is>
          <t>PDF</t>
        </is>
      </c>
      <c r="G18" s="29" t="inlineStr">
        <is>
          <t>Solo PDF o página</t>
        </is>
      </c>
      <c r="H18" s="29" t="inlineStr">
        <is>
          <t>not verified — la página de avisos del sitio no se pudo abrir desde la herramienta; copiar a mano</t>
        </is>
      </c>
      <c r="I18" s="29" t="inlineStr">
        <is>
          <t>No</t>
        </is>
      </c>
      <c r="J18" s="29" t="inlineStr">
        <is>
          <t>Hong Kong (RAE)</t>
        </is>
      </c>
      <c r="K18" s="29" t="inlineStr">
        <is>
          <t>2024/25</t>
        </is>
      </c>
      <c r="L18" s="29" t="inlineStr">
        <is>
          <t>Anual</t>
        </is>
      </c>
      <c r="M18" s="31" t="n">
        <v>46288</v>
      </c>
      <c r="N18" s="29" t="inlineStr">
        <is>
          <t>Integrada al lago</t>
        </is>
      </c>
      <c r="O18" s="29" t="inlineStr">
        <is>
          <t>IA (Claude) + verificación en WSD</t>
        </is>
      </c>
      <c r="P18" s="29" t="inlineStr">
        <is>
          <t>Licencia leída en: https://www.wsd.gov.hk/ Archivos del lago: public/data/perfil_wiki.json</t>
        </is>
      </c>
      <c r="Q18" s="18" t="n"/>
      <c r="R18" s="18" t="n"/>
      <c r="S18" s="18" t="n"/>
      <c r="T18" s="18" t="n"/>
      <c r="U18" s="18" t="n"/>
      <c r="V18" s="18" t="n"/>
      <c r="W18" s="18" t="n"/>
      <c r="X18" s="18" t="n"/>
      <c r="Y18" s="18" t="n"/>
      <c r="Z18" s="18" t="n"/>
    </row>
    <row r="19">
      <c r="A19" s="29" t="inlineStr">
        <is>
          <t>F15</t>
        </is>
      </c>
      <c r="B19" s="29" t="inlineStr">
        <is>
          <t>State of Hong Kong Biodiversity 2025</t>
        </is>
      </c>
      <c r="C19" s="29" t="inlineStr">
        <is>
          <t>WWF-Hong Kong</t>
        </is>
      </c>
      <c r="D19" s="29" t="inlineStr">
        <is>
          <t>Academia u ONG</t>
        </is>
      </c>
      <c r="E19" s="30" t="inlineStr">
        <is>
          <t>https://www.wwf.org.hk/en/biodiversity/</t>
        </is>
      </c>
      <c r="F19" s="29" t="inlineStr">
        <is>
          <t>Página web</t>
        </is>
      </c>
      <c r="G19" s="29" t="inlineStr">
        <is>
          <t>Solo PDF o página</t>
        </is>
      </c>
      <c r="H19" s="29" t="inlineStr">
        <is>
          <t>“Unless otherwise stated, all text featured on this website is copyright of World Wide Fund For Nature Hong Kong. Any reproduction, in full or in part, must credit World Wide Fund For Nature Hong Kong as the copyright holder” — wwf.org.hk Copyright</t>
        </is>
      </c>
      <c r="I19" s="29" t="inlineStr">
        <is>
          <t>No</t>
        </is>
      </c>
      <c r="J19" s="29" t="inlineStr">
        <is>
          <t>Hong Kong (RAE)</t>
        </is>
      </c>
      <c r="K19" s="29" t="inlineStr">
        <is>
          <t>2025</t>
        </is>
      </c>
      <c r="L19" s="29" t="inlineStr">
        <is>
          <t>No se sabe</t>
        </is>
      </c>
      <c r="M19" s="31" t="n">
        <v>46288</v>
      </c>
      <c r="N19" s="29" t="inlineStr">
        <is>
          <t>Integrada al lago</t>
        </is>
      </c>
      <c r="O19" s="29" t="inlineStr">
        <is>
          <t>IA (Claude) + verificación en WWF</t>
        </is>
      </c>
      <c r="P19" s="29" t="inlineStr">
        <is>
          <t>Se acredita a WWF Hong Kong como titular. Licencia leída en: https://wwf.org.hk/en/copyright Archivos del lago: public/data/perfil_wiki.json</t>
        </is>
      </c>
      <c r="Q19" s="18" t="n"/>
      <c r="R19" s="18" t="n"/>
      <c r="S19" s="18" t="n"/>
      <c r="T19" s="18" t="n"/>
      <c r="U19" s="18" t="n"/>
      <c r="V19" s="18" t="n"/>
      <c r="W19" s="18" t="n"/>
      <c r="X19" s="18" t="n"/>
      <c r="Y19" s="18" t="n"/>
      <c r="Z19" s="18" t="n"/>
    </row>
    <row r="20">
      <c r="A20" s="29" t="inlineStr">
        <is>
          <t>F16</t>
        </is>
      </c>
      <c r="B20" s="29" t="inlineStr">
        <is>
          <t>Pobreza por distrito y demografía</t>
        </is>
      </c>
      <c r="C20" s="29" t="inlineStr">
        <is>
          <t>Social Indicators of Hong Kong</t>
        </is>
      </c>
      <c r="D20" s="29" t="inlineStr">
        <is>
          <t>Academia u ONG</t>
        </is>
      </c>
      <c r="E20" s="30" t="inlineStr">
        <is>
          <t>https://socialindicators.org.hk/how-many-hong-kong-residents-live-in-poverty-breaking-down-the-latest-statistics-by-district-and-demographics/</t>
        </is>
      </c>
      <c r="F20" s="29" t="inlineStr">
        <is>
          <t>Página web</t>
        </is>
      </c>
      <c r="G20" s="29" t="inlineStr">
        <is>
          <t>Solo PDF o página</t>
        </is>
      </c>
      <c r="H20" s="29" t="inlineStr">
        <is>
          <t>not verified — la página de avisos del sitio no se pudo abrir desde la herramienta; copiar a mano</t>
        </is>
      </c>
      <c r="I20" s="29" t="inlineStr">
        <is>
          <t>Solo conteos por zona</t>
        </is>
      </c>
      <c r="J20" s="29" t="inlineStr">
        <is>
          <t>Hong Kong por distrito</t>
        </is>
      </c>
      <c r="K20" s="29" t="inlineStr">
        <is>
          <t>~2021–2026 (mezcla)</t>
        </is>
      </c>
      <c r="L20" s="29" t="inlineStr">
        <is>
          <t>No se sabe</t>
        </is>
      </c>
      <c r="M20" s="31" t="n">
        <v>46288</v>
      </c>
      <c r="N20" s="29" t="inlineStr">
        <is>
          <t>Candidata</t>
        </is>
      </c>
      <c r="O20" s="29" t="inlineStr">
        <is>
          <t>IA (Claude); agregador, no fuente primaria</t>
        </is>
      </c>
      <c r="P20" s="29" t="inlineStr">
        <is>
          <t>Dato sensible: ver decisión de protección en la sección Gente del tablero. No se grafica. Licencia leída en: https://socialindicators.org.hk/</t>
        </is>
      </c>
      <c r="Q20" s="18" t="n"/>
      <c r="R20" s="18" t="n"/>
      <c r="S20" s="18" t="n"/>
      <c r="T20" s="18" t="n"/>
      <c r="U20" s="18" t="n"/>
      <c r="V20" s="18" t="n"/>
      <c r="W20" s="18" t="n"/>
      <c r="X20" s="18" t="n"/>
      <c r="Y20" s="18" t="n"/>
      <c r="Z20" s="18" t="n"/>
    </row>
    <row r="21" ht="15.75" customHeight="1" s="24">
      <c r="A21" s="29" t="inlineStr">
        <is>
          <t>F17</t>
        </is>
      </c>
      <c r="B21" s="29" t="inlineStr">
        <is>
          <t>Serie histórica de fecundidad (TFR)</t>
        </is>
      </c>
      <c r="C21" s="29" t="inlineStr">
        <is>
          <t>Macrotrends</t>
        </is>
      </c>
      <c r="D21" s="29" t="inlineStr">
        <is>
          <t>Empresa privada</t>
        </is>
      </c>
      <c r="E21" s="30" t="inlineStr">
        <is>
          <t>https://www.macrotrends.net/global-metrics/countries/hkg/hong-kong/fertility-rate</t>
        </is>
      </c>
      <c r="F21" s="29" t="inlineStr">
        <is>
          <t>Página web</t>
        </is>
      </c>
      <c r="G21" s="29" t="inlineStr">
        <is>
          <t>Solo PDF o página</t>
        </is>
      </c>
      <c r="H21" s="29" t="inlineStr">
        <is>
          <t>“… copy, redistribute, transmit, sell, sublicense, publish, or otherwise exploit the Content except as expressly permitted; … Unauthorized use of the Content is strictly prohibited.” — macrotrends.net Terms of Service</t>
        </is>
      </c>
      <c r="I21" s="29" t="inlineStr">
        <is>
          <t>No</t>
        </is>
      </c>
      <c r="J21" s="29" t="inlineStr">
        <is>
          <t>Hong Kong (RAE)</t>
        </is>
      </c>
      <c r="K21" s="29" t="inlineStr">
        <is>
          <t>1950–2026</t>
        </is>
      </c>
      <c r="L21" s="29" t="inlineStr">
        <is>
          <t>Anual</t>
        </is>
      </c>
      <c r="M21" s="31" t="n">
        <v>46288</v>
      </c>
      <c r="N21" s="29" t="inlineStr">
        <is>
          <t>Descartada</t>
        </is>
      </c>
      <c r="O21" s="29" t="inlineStr">
        <is>
          <t>IA (Claude) la propuso; descartada tras comprobar</t>
        </is>
      </c>
      <c r="P21" s="29" t="inlineStr">
        <is>
          <t>TFR ~1,44 contradice la natalidad oficial (~4,2 por mil ⇒ TFR &lt; 1). Riesgo de licencia: restrictiva. Licencia leída en: https://www.macrotrends.net/terms</t>
        </is>
      </c>
      <c r="Q21" s="18" t="n"/>
      <c r="R21" s="18" t="n"/>
      <c r="S21" s="18" t="n"/>
      <c r="T21" s="18" t="n"/>
      <c r="U21" s="18" t="n"/>
      <c r="V21" s="18" t="n"/>
      <c r="W21" s="18" t="n"/>
      <c r="X21" s="18" t="n"/>
      <c r="Y21" s="18" t="n"/>
      <c r="Z21" s="18" t="n"/>
    </row>
    <row r="22" ht="15.75" customHeight="1" s="24">
      <c r="A22" s="29" t="inlineStr">
        <is>
          <t>F18</t>
        </is>
      </c>
      <c r="B22" s="29" t="inlineStr">
        <is>
          <t>Esperanza de vida por distrito (2016)</t>
        </is>
      </c>
      <c r="C22" s="29" t="inlineStr">
        <is>
          <t>IPC / International Population Conference</t>
        </is>
      </c>
      <c r="D22" s="29" t="inlineStr">
        <is>
          <t>Academia u ONG</t>
        </is>
      </c>
      <c r="E22" s="30" t="inlineStr">
        <is>
          <t>http://ipc2025.popconf.org/uploads/250834</t>
        </is>
      </c>
      <c r="F22" s="29" t="inlineStr">
        <is>
          <t>PDF</t>
        </is>
      </c>
      <c r="G22" s="29" t="inlineStr">
        <is>
          <t>Descarga directa</t>
        </is>
      </c>
      <c r="H22" s="29" t="inlineStr">
        <is>
          <t>not verified — la página de avisos del sitio no se pudo abrir desde la herramienta; copiar a mano</t>
        </is>
      </c>
      <c r="I22" s="29" t="inlineStr">
        <is>
          <t>No</t>
        </is>
      </c>
      <c r="J22" s="29" t="inlineStr">
        <is>
          <t>Hong Kong por distrito</t>
        </is>
      </c>
      <c r="K22" s="29" t="inlineStr">
        <is>
          <t>2016</t>
        </is>
      </c>
      <c r="L22" s="29" t="inlineStr">
        <is>
          <t>Única vez</t>
        </is>
      </c>
      <c r="M22" s="31" t="n">
        <v>46288</v>
      </c>
      <c r="N22" s="29" t="inlineStr">
        <is>
          <t>Candidata</t>
        </is>
      </c>
      <c r="O22" s="29" t="inlineStr">
        <is>
          <t>IA (Claude); dato viejo</t>
        </is>
      </c>
      <c r="P22" s="29" t="inlineStr">
        <is>
          <t>Pedir Life Tables actuales al C&amp;SD. Licencia leída en: http://ipc2025.popconf.org/</t>
        </is>
      </c>
      <c r="Q22" s="18" t="n"/>
      <c r="R22" s="18" t="n"/>
      <c r="S22" s="18" t="n"/>
      <c r="T22" s="18" t="n"/>
      <c r="U22" s="18" t="n"/>
      <c r="V22" s="18" t="n"/>
      <c r="W22" s="18" t="n"/>
      <c r="X22" s="18" t="n"/>
      <c r="Y22" s="18" t="n"/>
      <c r="Z22" s="18" t="n"/>
    </row>
    <row r="23" ht="15.75" customHeight="1" s="24">
      <c r="A23" s="29" t="inlineStr">
        <is>
          <t>F19</t>
        </is>
      </c>
      <c r="B23" s="29" t="inlineStr">
        <is>
          <t>Límites de circunscripciones DCCA 2019</t>
        </is>
      </c>
      <c r="C23" s="29" t="inlineStr">
        <is>
          <t>Electoral Affairs Commission (EAC); GeoJSON publicado por hkdce en GitHub</t>
        </is>
      </c>
      <c r="D23" s="29" t="inlineStr">
        <is>
          <t>Entidad pública</t>
        </is>
      </c>
      <c r="E23" s="30" t="inlineStr">
        <is>
          <t>https://raw.githubusercontent.com/hkdce/dcca-boundaries/master/converted-geojson/DCCA_2019.geojson</t>
        </is>
      </c>
      <c r="F23" s="29" t="inlineStr">
        <is>
          <t>GeoJSON</t>
        </is>
      </c>
      <c r="G23" s="29" t="inlineStr">
        <is>
          <t>Descarga directa</t>
        </is>
      </c>
      <c r="H23" s="29" t="inlineStr">
        <is>
          <t>no declara</t>
        </is>
      </c>
      <c r="I23" s="29" t="inlineStr">
        <is>
          <t>No</t>
        </is>
      </c>
      <c r="J23" s="29" t="inlineStr">
        <is>
          <t>18 distritos / 452 DCCA</t>
        </is>
      </c>
      <c r="K23" s="29" t="inlineStr">
        <is>
          <t>2019</t>
        </is>
      </c>
      <c r="L23" s="29" t="inlineStr">
        <is>
          <t>Única vez</t>
        </is>
      </c>
      <c r="M23" s="31" t="n">
        <v>46301</v>
      </c>
      <c r="N23" s="29" t="inlineStr">
        <is>
          <t>Integrada al lago</t>
        </is>
      </c>
      <c r="O23" s="29" t="inlineStr">
        <is>
          <t>Búsqueda web de la IA tras rutas inventadas (F37, F38)</t>
        </is>
      </c>
      <c r="P23" s="29" t="inlineStr">
        <is>
          <t>El repositorio no tiene archivo LICENSE (respuesta 404). Polígonos con mar. Licencia leída en: https://github.com/hkdce/dcca-boundaries Archivos del lago: public/data/geo.json, public/data/geo_circunscripciones.json, public/data/infraestructura.json, public/data/infraestructura_paradas.json, public/data/sensores.json, public/data/atlas_zonas.json</t>
        </is>
      </c>
      <c r="Q23" s="18" t="n"/>
      <c r="R23" s="18" t="n"/>
      <c r="S23" s="18" t="n"/>
      <c r="T23" s="18" t="n"/>
      <c r="U23" s="18" t="n"/>
      <c r="V23" s="18" t="n"/>
      <c r="W23" s="18" t="n"/>
      <c r="X23" s="18" t="n"/>
      <c r="Y23" s="18" t="n"/>
      <c r="Z23" s="18" t="n"/>
    </row>
    <row r="24" ht="15.75" customHeight="1" s="24">
      <c r="A24" s="29" t="inlineStr">
        <is>
          <t>F20</t>
        </is>
      </c>
      <c r="B24" s="29" t="inlineStr">
        <is>
          <t>Censo 2021 — estadísticas por distrito (DC_21C)</t>
        </is>
      </c>
      <c r="C24" s="29" t="inlineStr">
        <is>
          <t>Census and Statistics Department, vía CSDI</t>
        </is>
      </c>
      <c r="D24" s="29" t="inlineStr">
        <is>
          <t>Entidad pública</t>
        </is>
      </c>
      <c r="E24" s="30" t="inlineStr">
        <is>
          <t>https://portal.csdi.gov.hk/server/services/common/censtatd_rcd_1635932856094_19982/MapServer/WFSServer</t>
        </is>
      </c>
      <c r="F24" s="29" t="inlineStr">
        <is>
          <t>CSV</t>
        </is>
      </c>
      <c r="G24" s="29" t="inlineStr">
        <is>
          <t>API sin llave</t>
        </is>
      </c>
      <c r="H24" s="29" t="inlineStr">
        <is>
          <t>“You are allowed to browse, download, distribute, reproduce, hyperlink to and print the Data for both commercial and non-commercial purposes on a free-of-charge basis on the condition that: you shall identify clearly the Government and the CSDI Portal as the source of the Data and acknowledge the Government and the relevant organisations’ ownership of the intellectual property rights in the Data …” — CSDI Portal Terms and Conditions</t>
        </is>
      </c>
      <c r="I24" s="29" t="inlineStr">
        <is>
          <t>Solo conteos por zona</t>
        </is>
      </c>
      <c r="J24" s="29" t="inlineStr">
        <is>
          <t>18 distritos</t>
        </is>
      </c>
      <c r="K24" s="29" t="inlineStr">
        <is>
          <t>2021</t>
        </is>
      </c>
      <c r="L24" s="29" t="inlineStr">
        <is>
          <t>Única vez</t>
        </is>
      </c>
      <c r="M24" s="31" t="n">
        <v>46301</v>
      </c>
      <c r="N24" s="29" t="inlineStr">
        <is>
          <t>Integrada al lago</t>
        </is>
      </c>
      <c r="O24" s="29" t="inlineStr">
        <is>
          <t>La IA encontró el WFS en la ficha de data.gov.hk</t>
        </is>
      </c>
      <c r="P24" s="29" t="inlineStr">
        <is>
          <t>Validado: grupos de edad y tipos de vivienda suman la población total. Licencia leída en: https://portal.csdi.gov.hk/csdi-webpage/doc/TNC?lang=en Archivos del lago: public/data/panorama.json, public/data/demografia.json, public/data/economia.json, public/data/atlas_zonas.json, public/data/correlaciones.json</t>
        </is>
      </c>
      <c r="Q24" s="18" t="n"/>
      <c r="R24" s="18" t="n"/>
      <c r="S24" s="18" t="n"/>
      <c r="T24" s="18" t="n"/>
      <c r="U24" s="18" t="n"/>
      <c r="V24" s="18" t="n"/>
      <c r="W24" s="18" t="n"/>
      <c r="X24" s="18" t="n"/>
      <c r="Y24" s="18" t="n"/>
      <c r="Z24" s="18" t="n"/>
    </row>
    <row r="25" ht="15.75" customHeight="1" s="24">
      <c r="A25" s="29" t="inlineStr">
        <is>
          <t>F21</t>
        </is>
      </c>
      <c r="B25" s="29" t="inlineStr">
        <is>
          <t>Encuesta General de Hogares por distrito 2016–2025 (DC_GHS)</t>
        </is>
      </c>
      <c r="C25" s="29" t="inlineStr">
        <is>
          <t>Census and Statistics Department, vía CSDI</t>
        </is>
      </c>
      <c r="D25" s="29" t="inlineStr">
        <is>
          <t>Entidad pública</t>
        </is>
      </c>
      <c r="E25" s="30" t="inlineStr">
        <is>
          <t>https://portal.csdi.gov.hk/server/services/common/censtatd_rcd_1635934545173_69201/MapServer/WFSServer</t>
        </is>
      </c>
      <c r="F25" s="29" t="inlineStr">
        <is>
          <t>CSV</t>
        </is>
      </c>
      <c r="G25" s="29" t="inlineStr">
        <is>
          <t>API sin llave</t>
        </is>
      </c>
      <c r="H25" s="29" t="inlineStr">
        <is>
          <t>“You are allowed to browse, download, distribute, reproduce, hyperlink to and print the Data for both commercial and non-commercial purposes on a free-of-charge basis on the condition that: you shall identify clearly the Government and the CSDI Portal as the source of the Data and acknowledge the Government and the relevant organisations’ ownership of the intellectual property rights in the Data …” — CSDI Portal Terms and Conditions</t>
        </is>
      </c>
      <c r="I25" s="29" t="inlineStr">
        <is>
          <t>Solo conteos por zona</t>
        </is>
      </c>
      <c r="J25" s="29" t="inlineStr">
        <is>
          <t>18 distritos</t>
        </is>
      </c>
      <c r="K25" s="29" t="inlineStr">
        <is>
          <t>2016–2025</t>
        </is>
      </c>
      <c r="L25" s="29" t="inlineStr">
        <is>
          <t>Anual</t>
        </is>
      </c>
      <c r="M25" s="31" t="n">
        <v>46301</v>
      </c>
      <c r="N25" s="29" t="inlineStr">
        <is>
          <t>Integrada al lago</t>
        </is>
      </c>
      <c r="O25" s="29" t="inlineStr">
        <is>
          <t>La IA la encontró en data.gov.hk</t>
        </is>
      </c>
      <c r="P25" s="29" t="inlineStr">
        <is>
          <t>Edad mediana redondeada a entero. Licencia leída en: https://portal.csdi.gov.hk/csdi-webpage/doc/TNC?lang=en Archivos del lago: public/data/panorama.json, public/data/demografia.json, public/data/economia.json, public/data/atlas_zonas.json, public/data/correlaciones.json</t>
        </is>
      </c>
      <c r="Q25" s="18" t="n"/>
      <c r="R25" s="18" t="n"/>
      <c r="S25" s="18" t="n"/>
      <c r="T25" s="18" t="n"/>
      <c r="U25" s="18" t="n"/>
      <c r="V25" s="18" t="n"/>
      <c r="W25" s="18" t="n"/>
      <c r="X25" s="18" t="n"/>
      <c r="Y25" s="18" t="n"/>
      <c r="Z25" s="18" t="n"/>
    </row>
    <row r="26" ht="15.75" customHeight="1" s="24">
      <c r="A26" s="29" t="inlineStr">
        <is>
          <t>F22</t>
        </is>
      </c>
      <c r="B26" s="29" t="inlineStr">
        <is>
          <t>Districts of Hong Kong (área terrestre y nombres en chino)</t>
        </is>
      </c>
      <c r="C26" s="29" t="inlineStr">
        <is>
          <t>Wikipedia (Wikimedia Foundation)</t>
        </is>
      </c>
      <c r="D26" s="29" t="inlineStr">
        <is>
          <t>Plataforma colaborativa</t>
        </is>
      </c>
      <c r="E26" s="30" t="inlineStr">
        <is>
          <t>https://en.wikipedia.org/wiki/Districts_of_Hong_Kong</t>
        </is>
      </c>
      <c r="F26" s="29" t="inlineStr">
        <is>
          <t>Página web</t>
        </is>
      </c>
      <c r="G26" s="29" t="inlineStr">
        <is>
          <t>Solo PDF o página</t>
        </is>
      </c>
      <c r="H26" s="29" t="inlineStr">
        <is>
          <t>not verified — la página de avisos del sitio no se pudo abrir desde la herramienta; copiar a mano</t>
        </is>
      </c>
      <c r="I26" s="29" t="inlineStr">
        <is>
          <t>No</t>
        </is>
      </c>
      <c r="J26" s="29" t="inlineStr">
        <is>
          <t>18 distritos</t>
        </is>
      </c>
      <c r="K26" s="29" t="inlineStr">
        <is>
          <t>Censo 2021</t>
        </is>
      </c>
      <c r="L26" s="29" t="inlineStr">
        <is>
          <t>No se sabe</t>
        </is>
      </c>
      <c r="M26" s="31" t="n">
        <v>46301</v>
      </c>
      <c r="N26" s="29" t="inlineStr">
        <is>
          <t>Integrada al lago</t>
        </is>
      </c>
      <c r="O26" s="29" t="inlineStr">
        <is>
          <t>Consulta de la IA</t>
        </is>
      </c>
      <c r="P26" s="29" t="inlineStr">
        <is>
          <t>La herramienta no devolvió el pie de licencia del artículo; antes se anotó «CC BY-SA 4.0» de memoria: no se tomó del sitio. Licencia leída en: https://en.wikipedia.org/wiki/Districts_of_Hong_Kong Archivos del lago: public/data/panorama.json, public/data/geo.json, public/data/demografia.json, public/data/atlas_zonas.json, public/data/correlaciones.json</t>
        </is>
      </c>
      <c r="Q26" s="18" t="n"/>
      <c r="R26" s="18" t="n"/>
      <c r="S26" s="18" t="n"/>
      <c r="T26" s="18" t="n"/>
      <c r="U26" s="18" t="n"/>
      <c r="V26" s="18" t="n"/>
      <c r="W26" s="18" t="n"/>
      <c r="X26" s="18" t="n"/>
      <c r="Y26" s="18" t="n"/>
      <c r="Z26" s="18" t="n"/>
    </row>
    <row r="27" ht="15.75" customHeight="1" s="24">
      <c r="A27" s="29" t="inlineStr">
        <is>
          <t>F23</t>
        </is>
      </c>
      <c r="B27" s="29" t="inlineStr">
        <is>
          <t>Rutas y paradas de transporte público</t>
        </is>
      </c>
      <c r="C27" s="29" t="inlineStr">
        <is>
          <t>hkbus/hk-bus-crawling (compila datos abiertos de operadores)</t>
        </is>
      </c>
      <c r="D27" s="29" t="inlineStr">
        <is>
          <t>Plataforma colaborativa</t>
        </is>
      </c>
      <c r="E27" s="30" t="inlineStr">
        <is>
          <t>https://raw.githubusercontent.com/hkbus/hk-bus-crawling/gh-pages/routeFareList.min.json</t>
        </is>
      </c>
      <c r="F27" s="29" t="inlineStr">
        <is>
          <t>JSON</t>
        </is>
      </c>
      <c r="G27" s="29" t="inlineStr">
        <is>
          <t>Descarga directa</t>
        </is>
      </c>
      <c r="H27" s="29" t="inlineStr">
        <is>
          <t>“GNU GENERAL PUBLIC LICENSE Version 2, June 1991” — LICENSE del repositorio hkbus/hk-bus-crawling</t>
        </is>
      </c>
      <c r="I27" s="29" t="inlineStr">
        <is>
          <t>No</t>
        </is>
      </c>
      <c r="J27" s="29" t="inlineStr">
        <is>
          <t>Todo Hong Kong</t>
        </is>
      </c>
      <c r="K27" s="29" t="inlineStr">
        <is>
          <t>vigente a 2026-10</t>
        </is>
      </c>
      <c r="L27" s="29" t="inlineStr">
        <is>
          <t>Diaria</t>
        </is>
      </c>
      <c r="M27" s="31" t="n">
        <v>46301</v>
      </c>
      <c r="N27" s="29" t="inlineStr">
        <is>
          <t>Integrada al lago</t>
        </is>
      </c>
      <c r="O27" s="29" t="inlineStr">
        <is>
          <t>Revisando el paquete npm hk-bus-eta</t>
        </is>
      </c>
      <c r="P27" s="29" t="inlineStr">
        <is>
          <t>GPL-2.0 exige mantener la licencia al redistribuir el archivo crudo. Licencia leída en: https://github.com/hkbus/hk-bus-crawling Archivos del lago: public/data/panorama.json, public/data/infraestructura.json, public/data/infraestructura_paradas.json, public/data/atlas_zonas.json, public/data/atlas_distribuidos.json, public/data/hex_h3_res8.geojson, public/data/correlaciones.json</t>
        </is>
      </c>
      <c r="Q27" s="18" t="n"/>
      <c r="R27" s="18" t="n"/>
      <c r="S27" s="18" t="n"/>
      <c r="T27" s="18" t="n"/>
      <c r="U27" s="18" t="n"/>
      <c r="V27" s="18" t="n"/>
      <c r="W27" s="18" t="n"/>
      <c r="X27" s="18" t="n"/>
      <c r="Y27" s="18" t="n"/>
      <c r="Z27" s="18" t="n"/>
    </row>
    <row r="28" ht="15.75" customHeight="1" s="24">
      <c r="A28" s="29" t="inlineStr">
        <is>
          <t>F24</t>
        </is>
      </c>
      <c r="B28" s="29" t="inlineStr">
        <is>
          <t>Hospitales públicos con urgencias (A&amp;E)</t>
        </is>
      </c>
      <c r="C28" s="29" t="inlineStr">
        <is>
          <t>Paquete npm ane-hk</t>
        </is>
      </c>
      <c r="D28" s="29" t="inlineStr">
        <is>
          <t>Plataforma colaborativa</t>
        </is>
      </c>
      <c r="E28" s="30" t="inlineStr">
        <is>
          <t>https://registry.npmjs.org/ane-hk</t>
        </is>
      </c>
      <c r="F28" s="29" t="inlineStr">
        <is>
          <t>Otro</t>
        </is>
      </c>
      <c r="G28" s="29" t="inlineStr">
        <is>
          <t>Descarga directa</t>
        </is>
      </c>
      <c r="H28" s="29" t="inlineStr">
        <is>
          <t>“"license": "GPL-3.0-only"” — package.json de ane-hk</t>
        </is>
      </c>
      <c r="I28" s="29" t="inlineStr">
        <is>
          <t>No</t>
        </is>
      </c>
      <c r="J28" s="29" t="inlineStr">
        <is>
          <t>18 hospitales</t>
        </is>
      </c>
      <c r="K28" s="29" t="inlineStr">
        <is>
          <t>vigente a 2026-10</t>
        </is>
      </c>
      <c r="L28" s="29" t="inlineStr">
        <is>
          <t>No se sabe</t>
        </is>
      </c>
      <c r="M28" s="31" t="n">
        <v>46301</v>
      </c>
      <c r="N28" s="29" t="inlineStr">
        <is>
          <t>Integrada al lago</t>
        </is>
      </c>
      <c r="O28" s="29" t="inlineStr">
        <is>
          <t>Búsqueda de la IA en npm</t>
        </is>
      </c>
      <c r="P28" s="29" t="inlineStr">
        <is>
          <t>Solo nombres y coordenadas. Falta el hospital de Kai Tak. Licencia leída en: https://www.npmjs.com/package/ane-hk Archivos del lago: public/data/panorama.json, public/data/infraestructura.json, public/data/atlas_zonas.json, public/data/atlas_distribuidos.json, public/data/hex_h3_res8.geojson, public/data/correlaciones.json</t>
        </is>
      </c>
      <c r="Q28" s="18" t="n"/>
      <c r="R28" s="18" t="n"/>
      <c r="S28" s="18" t="n"/>
      <c r="T28" s="18" t="n"/>
      <c r="U28" s="18" t="n"/>
      <c r="V28" s="18" t="n"/>
      <c r="W28" s="18" t="n"/>
      <c r="X28" s="18" t="n"/>
      <c r="Y28" s="18" t="n"/>
      <c r="Z28" s="18" t="n"/>
    </row>
    <row r="29" ht="15.75" customHeight="1" s="24">
      <c r="A29" s="29" t="inlineStr">
        <is>
          <t>F25</t>
        </is>
      </c>
      <c r="B29" s="29" t="inlineStr">
        <is>
          <t>Información de estaciones meteorológicas</t>
        </is>
      </c>
      <c r="C29" s="29" t="inlineStr">
        <is>
          <t>Hong Kong Observatory (HKO)</t>
        </is>
      </c>
      <c r="D29" s="29" t="inlineStr">
        <is>
          <t>Entidad pública</t>
        </is>
      </c>
      <c r="E29" s="30" t="inlineStr">
        <is>
          <t>https://www.hko.gov.hk/en/cis/stn.htm</t>
        </is>
      </c>
      <c r="F29" s="29" t="inlineStr">
        <is>
          <t>Página web</t>
        </is>
      </c>
      <c r="G29" s="29" t="inlineStr">
        <is>
          <t>Solo PDF o página</t>
        </is>
      </c>
      <c r="H29" s="29" t="inlineStr">
        <is>
          <t>“The use of the Materials for non-commercial purposes shall comply with all terms and conditions provided in the … Besides, the use of the Materials for commercial purposes is strictly prohibited unless all the conditions provided in the … are complied with and prior written authorisation is obtained from the Hong Kong Observatory” — hko.gov.hk Readme / Copyright</t>
        </is>
      </c>
      <c r="I29" s="29" t="inlineStr">
        <is>
          <t>No</t>
        </is>
      </c>
      <c r="J29" s="29" t="inlineStr">
        <is>
          <t>86 estaciones</t>
        </is>
      </c>
      <c r="K29" s="29" t="inlineStr">
        <is>
          <t>1884–2026</t>
        </is>
      </c>
      <c r="L29" s="29" t="inlineStr">
        <is>
          <t>No se sabe</t>
        </is>
      </c>
      <c r="M29" s="31" t="n">
        <v>46301</v>
      </c>
      <c r="N29" s="29" t="inlineStr">
        <is>
          <t>Integrada al lago</t>
        </is>
      </c>
      <c r="O29" s="29" t="inlineStr">
        <is>
          <t>Búsqueda web de la IA</t>
        </is>
      </c>
      <c r="P29" s="29" t="inlineStr">
        <is>
          <t>Uso no comercial con condiciones; uso comercial requiere autorización escrita. Riesgo de licencia: condicionada. Licencia leída en: https://www.hko.gov.hk/en/readme/readme.htm Archivos del lago: public/data/panorama.json, public/data/sensores.json, public/data/atlas_zonas.json, public/data/atlas_distribuidos.json, public/data/hex_h3_res8.geojson</t>
        </is>
      </c>
      <c r="Q29" s="18" t="n"/>
      <c r="R29" s="18" t="n"/>
      <c r="S29" s="18" t="n"/>
      <c r="T29" s="18" t="n"/>
      <c r="U29" s="18" t="n"/>
      <c r="V29" s="18" t="n"/>
      <c r="W29" s="18" t="n"/>
      <c r="X29" s="18" t="n"/>
      <c r="Y29" s="18" t="n"/>
      <c r="Z29" s="18" t="n"/>
    </row>
    <row r="30" ht="15.75" customHeight="1" s="24">
      <c r="A30" s="29" t="inlineStr">
        <is>
          <t>F26</t>
        </is>
      </c>
      <c r="B30" s="29" t="inlineStr">
        <is>
          <t>Humedad relativa del último minuto (capa espacial)</t>
        </is>
      </c>
      <c r="C30" s="29" t="inlineStr">
        <is>
          <t>Hong Kong Observatory, vía CSDI</t>
        </is>
      </c>
      <c r="D30" s="29" t="inlineStr">
        <is>
          <t>Entidad pública</t>
        </is>
      </c>
      <c r="E30" s="30" t="inlineStr">
        <is>
          <t>https://portal.csdi.gov.hk/server/services/common/hko_rcd_1634875711587_25731/MapServer/WFSServer</t>
        </is>
      </c>
      <c r="F30" s="29" t="inlineStr">
        <is>
          <t>GeoJSON</t>
        </is>
      </c>
      <c r="G30" s="29" t="inlineStr">
        <is>
          <t>API sin llave</t>
        </is>
      </c>
      <c r="H30" s="29" t="inlineStr">
        <is>
          <t>“You are allowed to browse, download, distribute, reproduce, hyperlink to and print the Data for both commercial and non-commercial purposes on a free-of-charge basis on the condition that: you shall identify clearly the Government and the CSDI Portal as the source of the Data and acknowledge the Government and the relevant organisations’ ownership of the intellectual property rights in the Data …” — CSDI Portal Terms and Conditions</t>
        </is>
      </c>
      <c r="I30" s="29" t="inlineStr">
        <is>
          <t>No</t>
        </is>
      </c>
      <c r="J30" s="29" t="inlineStr">
        <is>
          <t>26 estaciones</t>
        </is>
      </c>
      <c r="K30" s="29" t="inlineStr">
        <is>
          <t>tiempo real</t>
        </is>
      </c>
      <c r="L30" s="29" t="inlineStr">
        <is>
          <t>Tiempo real</t>
        </is>
      </c>
      <c r="M30" s="31" t="n">
        <v>46301</v>
      </c>
      <c r="N30" s="29" t="inlineStr">
        <is>
          <t>Integrada al lago</t>
        </is>
      </c>
      <c r="O30" s="29" t="inlineStr">
        <is>
          <t>Ficha de data.gov.hk</t>
        </is>
      </c>
      <c r="P30" s="29" t="inlineStr">
        <is>
          <t>Control de calidad de coordenadas de F25. Licencia leída en: https://portal.csdi.gov.hk/csdi-webpage/doc/TNC?lang=en Archivos del lago: public/data/sensores.json</t>
        </is>
      </c>
      <c r="Q30" s="18" t="n"/>
      <c r="R30" s="18" t="n"/>
      <c r="S30" s="18" t="n"/>
      <c r="T30" s="18" t="n"/>
      <c r="U30" s="18" t="n"/>
      <c r="V30" s="18" t="n"/>
      <c r="W30" s="18" t="n"/>
      <c r="X30" s="18" t="n"/>
      <c r="Y30" s="18" t="n"/>
      <c r="Z30" s="18" t="n"/>
    </row>
    <row r="31" ht="15.75" customHeight="1" s="24">
      <c r="A31" s="29" t="inlineStr">
        <is>
          <t>F27</t>
        </is>
      </c>
      <c r="B31" s="29" t="inlineStr">
        <is>
          <t>AQHI actual por estación</t>
        </is>
      </c>
      <c r="C31" s="29" t="inlineStr">
        <is>
          <t>Environmental Protection Department (EPD)</t>
        </is>
      </c>
      <c r="D31" s="29" t="inlineStr">
        <is>
          <t>Entidad pública</t>
        </is>
      </c>
      <c r="E31" s="30" t="inlineStr">
        <is>
          <t>https://www.aqhi.gov.hk/epd/ddata/html/out/aqhi_ind_rss_Eng.xml</t>
        </is>
      </c>
      <c r="F31" s="29" t="inlineStr">
        <is>
          <t>Otro</t>
        </is>
      </c>
      <c r="G31" s="29" t="inlineStr">
        <is>
          <t>Descarga directa</t>
        </is>
      </c>
      <c r="H31" s="29" t="inlineStr">
        <is>
          <t>“The information available within this website may be re-disseminated or reproduced, provided that the Environmental Protection Department (EPD), as the source of information, is acknowledged and that the re-dissemination or reproduction is for non-commercial use.” — EPD Copyright Notice</t>
        </is>
      </c>
      <c r="I31" s="29" t="inlineStr">
        <is>
          <t>No</t>
        </is>
      </c>
      <c r="J31" s="29" t="inlineStr">
        <is>
          <t>18 estaciones</t>
        </is>
      </c>
      <c r="K31" s="29" t="inlineStr">
        <is>
          <t>captura 2026-10-06 07:30 HKT</t>
        </is>
      </c>
      <c r="L31" s="29" t="inlineStr">
        <is>
          <t>Tiempo real</t>
        </is>
      </c>
      <c r="M31" s="31" t="n">
        <v>46301</v>
      </c>
      <c r="N31" s="29" t="inlineStr">
        <is>
          <t>Integrada al lago</t>
        </is>
      </c>
      <c r="O31" s="29" t="inlineStr">
        <is>
          <t>Ficha de data.gov.hk</t>
        </is>
      </c>
      <c r="P31" s="29" t="inlineStr">
        <is>
          <t>Solo uso no comercial con atribución a EPD. Riesgo de licencia: condicionada. Licencia leída en: https://epd.gov.hk/epd/misc/copyright/english/copyright.html Archivos del lago: public/data/panorama.json, public/data/sensores.json, public/data/atlas_zonas.json</t>
        </is>
      </c>
    </row>
    <row r="32" ht="15.75" customHeight="1" s="24">
      <c r="A32" s="29" t="inlineStr">
        <is>
          <t>F28</t>
        </is>
      </c>
      <c r="B32" s="29" t="inlineStr">
        <is>
          <t>PIB per cápita de Hong Kong (US$ corrientes)</t>
        </is>
      </c>
      <c r="C32" s="29" t="inlineStr">
        <is>
          <t>Banco Mundial, publicado por FRED</t>
        </is>
      </c>
      <c r="D32" s="29" t="inlineStr">
        <is>
          <t>Entidad pública</t>
        </is>
      </c>
      <c r="E32" s="30" t="inlineStr">
        <is>
          <t>https://fred.stlouisfed.org/data/PCAGDPHKA646NWDB</t>
        </is>
      </c>
      <c r="F32" s="29" t="inlineStr">
        <is>
          <t>Página web</t>
        </is>
      </c>
      <c r="G32" s="29" t="inlineStr">
        <is>
          <t>Solo PDF o página</t>
        </is>
      </c>
      <c r="H32" s="29" t="inlineStr">
        <is>
          <t>“Data in this graph are copyrighted. Please review the copyright information in the series notes before sharing.” — FRED series page</t>
        </is>
      </c>
      <c r="I32" s="29" t="inlineStr">
        <is>
          <t>No</t>
        </is>
      </c>
      <c r="J32" s="29" t="inlineStr">
        <is>
          <t>Hong Kong</t>
        </is>
      </c>
      <c r="K32" s="29" t="inlineStr">
        <is>
          <t>1960–2025</t>
        </is>
      </c>
      <c r="L32" s="29" t="inlineStr">
        <is>
          <t>Anual</t>
        </is>
      </c>
      <c r="M32" s="31" t="n">
        <v>46301</v>
      </c>
      <c r="N32" s="29" t="inlineStr">
        <is>
          <t>Integrada al lago</t>
        </is>
      </c>
      <c r="O32" s="29" t="inlineStr">
        <is>
          <t>Búsqueda web tras fallar la API del Banco Mundial (F43)</t>
        </is>
      </c>
      <c r="P32" s="29" t="inlineStr">
        <is>
          <t>Licencia leída en: https://fred.stlouisfed.org/series/PCAGDPHKA646NWDB Archivos del lago: public/data/panorama.json, public/data/economia.json</t>
        </is>
      </c>
    </row>
    <row r="33" ht="15.75" customHeight="1" s="24">
      <c r="A33" s="29" t="inlineStr">
        <is>
          <t>F29</t>
        </is>
      </c>
      <c r="B33" s="29" t="inlineStr">
        <is>
          <t>PIB per cápita de Hong Kong (US$ constantes)</t>
        </is>
      </c>
      <c r="C33" s="29" t="inlineStr">
        <is>
          <t>Banco Mundial, publicado por FRED</t>
        </is>
      </c>
      <c r="D33" s="29" t="inlineStr">
        <is>
          <t>Entidad pública</t>
        </is>
      </c>
      <c r="E33" s="30" t="inlineStr">
        <is>
          <t>https://fred.stlouisfed.org/data/NYGDPPCAPKDHKG</t>
        </is>
      </c>
      <c r="F33" s="29" t="inlineStr">
        <is>
          <t>Página web</t>
        </is>
      </c>
      <c r="G33" s="29" t="inlineStr">
        <is>
          <t>Solo PDF o página</t>
        </is>
      </c>
      <c r="H33" s="29" t="inlineStr">
        <is>
          <t>“Data in this graph are copyrighted. Please review the copyright information in the series notes before sharing.” — FRED series page</t>
        </is>
      </c>
      <c r="I33" s="29" t="inlineStr">
        <is>
          <t>No</t>
        </is>
      </c>
      <c r="J33" s="29" t="inlineStr">
        <is>
          <t>Hong Kong</t>
        </is>
      </c>
      <c r="K33" s="29" t="inlineStr">
        <is>
          <t>1961–2025</t>
        </is>
      </c>
      <c r="L33" s="29" t="inlineStr">
        <is>
          <t>Anual</t>
        </is>
      </c>
      <c r="M33" s="31" t="n">
        <v>46301</v>
      </c>
      <c r="N33" s="29" t="inlineStr">
        <is>
          <t>Integrada al lago</t>
        </is>
      </c>
      <c r="O33" s="29" t="inlineStr">
        <is>
          <t>Búsqueda web</t>
        </is>
      </c>
      <c r="P33" s="29" t="inlineStr">
        <is>
          <t>FRED dice “Units: 2010 U.S. Dollars”, pero el valor de 2015 coincide con el corriente (base 2015). Se anota la discrepancia. Licencia leída en: https://fred.stlouisfed.org/series/NYGDPPCAPKDHKG Archivos del lago: public/data/economia.json</t>
        </is>
      </c>
    </row>
    <row r="34" ht="15.75" customHeight="1" s="24">
      <c r="A34" s="29" t="inlineStr">
        <is>
          <t>F30</t>
        </is>
      </c>
      <c r="B34" s="29" t="inlineStr">
        <is>
          <t>Inflación, precios al consumidor (% anual)</t>
        </is>
      </c>
      <c r="C34" s="29" t="inlineStr">
        <is>
          <t>Banco Mundial, publicado por FRED</t>
        </is>
      </c>
      <c r="D34" s="29" t="inlineStr">
        <is>
          <t>Entidad pública</t>
        </is>
      </c>
      <c r="E34" s="30" t="inlineStr">
        <is>
          <t>https://fred.stlouisfed.org/data/FPCPITOTLZGHKG</t>
        </is>
      </c>
      <c r="F34" s="29" t="inlineStr">
        <is>
          <t>Página web</t>
        </is>
      </c>
      <c r="G34" s="29" t="inlineStr">
        <is>
          <t>Solo PDF o página</t>
        </is>
      </c>
      <c r="H34" s="29" t="inlineStr">
        <is>
          <t>“Data in this graph are copyrighted. Please review the copyright information in the series notes before sharing.” — FRED series page</t>
        </is>
      </c>
      <c r="I34" s="29" t="inlineStr">
        <is>
          <t>No</t>
        </is>
      </c>
      <c r="J34" s="29" t="inlineStr">
        <is>
          <t>Hong Kong</t>
        </is>
      </c>
      <c r="K34" s="29" t="inlineStr">
        <is>
          <t>2000–2025 (usado)</t>
        </is>
      </c>
      <c r="L34" s="29" t="inlineStr">
        <is>
          <t>Anual</t>
        </is>
      </c>
      <c r="M34" s="31" t="n">
        <v>46301</v>
      </c>
      <c r="N34" s="29" t="inlineStr">
        <is>
          <t>Integrada al lago</t>
        </is>
      </c>
      <c r="O34" s="29" t="inlineStr">
        <is>
          <t>Búsqueda web</t>
        </is>
      </c>
      <c r="P34" s="29" t="inlineStr">
        <is>
          <t>Licencia leída en: https://fred.stlouisfed.org/series/FPCPITOTLZGHKG Archivos del lago: public/data/panorama.json, public/data/economia.json</t>
        </is>
      </c>
    </row>
    <row r="35" ht="15.75" customHeight="1" s="24">
      <c r="A35" s="29" t="inlineStr">
        <is>
          <t>F31</t>
        </is>
      </c>
      <c r="B35" s="29" t="inlineStr">
        <is>
          <t>Delitos totales y violentos por mes (CSV)</t>
        </is>
      </c>
      <c r="C35" s="29" t="inlineStr">
        <is>
          <t>Hong Kong Police Force, listado en DATA.GOV.HK</t>
        </is>
      </c>
      <c r="D35" s="29" t="inlineStr">
        <is>
          <t>Entidad pública</t>
        </is>
      </c>
      <c r="E35" s="30" t="inlineStr">
        <is>
          <t>https://www.police.gov.hk/info/doc/crime_details_overall.csv</t>
        </is>
      </c>
      <c r="F35" s="29" t="inlineStr">
        <is>
          <t>CSV</t>
        </is>
      </c>
      <c r="G35" s="29" t="inlineStr">
        <is>
          <t>Descarga directa</t>
        </is>
      </c>
      <c r="H35" s="29" t="inlineStr">
        <is>
          <t>“You are allowed to browse, download, distribute, reproduce, hyperlink to, and print the Data for both commercial and non-commercial purposes on a free-of-charge basis on condition that:- you shall identify clearly the source of the Data … you shall also give proper attribution to the Government, the Relevant Organisations and DATA.GOV.HK” — DATA.GOV.HK Terms and Conditions</t>
        </is>
      </c>
      <c r="I35" s="29" t="inlineStr">
        <is>
          <t>Solo conteos por zona</t>
        </is>
      </c>
      <c r="J35" s="29" t="inlineStr">
        <is>
          <t>Hong Kong (sin distritos)</t>
        </is>
      </c>
      <c r="K35" s="29" t="inlineStr">
        <is>
          <t>2022-01 a 2024-12</t>
        </is>
      </c>
      <c r="L35" s="29" t="inlineStr">
        <is>
          <t>Mensual</t>
        </is>
      </c>
      <c r="M35" s="31" t="n">
        <v>46301</v>
      </c>
      <c r="N35" s="29" t="inlineStr">
        <is>
          <t>Integrada al lago</t>
        </is>
      </c>
      <c r="O35" s="29" t="inlineStr">
        <is>
          <t>Ficha de data.gov.hk</t>
        </is>
      </c>
      <c r="P35" s="29" t="inlineStr">
        <is>
          <t>Se aplica la licencia de DATA.GOV.HK (donde está listado), no el aviso restrictivo del sitio de la Policía (F10). Licencia leída en: https://data.gov.hk/en/terms-and-conditions Archivos del lago: public/data/escucha.json</t>
        </is>
      </c>
    </row>
    <row r="36" ht="15.75" customHeight="1" s="24">
      <c r="A36" s="29" t="inlineStr">
        <is>
          <t>F32</t>
        </is>
      </c>
      <c r="B36" s="29" t="inlineStr">
        <is>
          <t>Titulares de prensa sobre Hong Kong</t>
        </is>
      </c>
      <c r="C36" s="29" t="inlineStr">
        <is>
          <t>Varios medios (The Standard, SCMP, RTHK, TVB, info.gov.hk…)</t>
        </is>
      </c>
      <c r="D36" s="29" t="inlineStr">
        <is>
          <t>Medio de comunicación</t>
        </is>
      </c>
      <c r="E36" s="30" t="inlineStr">
        <is>
          <t>(32 URL, una por titular, en public/data/escucha.json)</t>
        </is>
      </c>
      <c r="F36" s="29" t="inlineStr">
        <is>
          <t>Página web</t>
        </is>
      </c>
      <c r="G36" s="29" t="inlineStr">
        <is>
          <t>Solo PDF o página</t>
        </is>
      </c>
      <c r="H36" s="29" t="inlineStr">
        <is>
          <t>no declara (cada medio tiene sus propios términos; no se verificaron uno por uno)</t>
        </is>
      </c>
      <c r="I36" s="29" t="inlineStr">
        <is>
          <t>Texto libre sin revisar</t>
        </is>
      </c>
      <c r="J36" s="29" t="inlineStr">
        <is>
          <t>Hong Kong</t>
        </is>
      </c>
      <c r="K36" s="29" t="inlineStr">
        <is>
          <t>2025–2026-10</t>
        </is>
      </c>
      <c r="L36" s="29" t="inlineStr">
        <is>
          <t>Única vez</t>
        </is>
      </c>
      <c r="M36" s="31" t="n">
        <v>46301</v>
      </c>
      <c r="N36" s="29" t="inlineStr">
        <is>
          <t>Integrada al lago</t>
        </is>
      </c>
      <c r="O36" s="29" t="inlineStr">
        <is>
          <t>8 búsquedas web de la IA</t>
        </is>
      </c>
      <c r="P36" s="29" t="inlineStr">
        <is>
          <t>Solo titular y enlace. Revisar si nombran personas antes de publicar. Archivos del lago: public/data/panorama.json, public/data/escucha.json, public/data/atlas_zonas.json</t>
        </is>
      </c>
    </row>
    <row r="37" ht="15.75" customHeight="1" s="24">
      <c r="A37" s="29" t="inlineStr">
        <is>
          <t>F33</t>
        </is>
      </c>
      <c r="B37" s="29" t="inlineStr">
        <is>
          <t>Diccionario de barrios por distrito (hk-location.json)</t>
        </is>
      </c>
      <c r="C37" s="29" t="inlineStr">
        <is>
          <t>Paquete npm hkopendata 1.0.0</t>
        </is>
      </c>
      <c r="D37" s="29" t="inlineStr">
        <is>
          <t>Plataforma colaborativa</t>
        </is>
      </c>
      <c r="E37" s="30" t="inlineStr">
        <is>
          <t>https://registry.npmjs.org/hkopendata/-/hkopendata-1.0.0.tgz</t>
        </is>
      </c>
      <c r="F37" s="29" t="inlineStr">
        <is>
          <t>JSON</t>
        </is>
      </c>
      <c r="G37" s="29" t="inlineStr">
        <is>
          <t>Descarga directa</t>
        </is>
      </c>
      <c r="H37" s="29" t="inlineStr">
        <is>
          <t>“"license": "MIT"” — package.json de hkopendata</t>
        </is>
      </c>
      <c r="I37" s="29" t="inlineStr">
        <is>
          <t>No</t>
        </is>
      </c>
      <c r="J37" s="29" t="inlineStr">
        <is>
          <t>18 distritos</t>
        </is>
      </c>
      <c r="K37" s="29" t="inlineStr">
        <is>
          <t>No se sabe</t>
        </is>
      </c>
      <c r="L37" s="29" t="inlineStr">
        <is>
          <t>Única vez</t>
        </is>
      </c>
      <c r="M37" s="31" t="n">
        <v>46301</v>
      </c>
      <c r="N37" s="29" t="inlineStr">
        <is>
          <t>Integrada al lago</t>
        </is>
      </c>
      <c r="O37" s="29" t="inlineStr">
        <is>
          <t>Búsqueda de la IA en npm</t>
        </is>
      </c>
      <c r="P37" s="29" t="inlineStr">
        <is>
          <t>Buscador de barrios y detección de distritos en titulares. Licencia leída en: https://www.npmjs.com/package/hkopendata Archivos del lago: public/data/escucha.json, public/data/barrios.json</t>
        </is>
      </c>
    </row>
    <row r="38" ht="15.75" customHeight="1" s="24">
      <c r="A38" s="29" t="inlineStr">
        <is>
          <t>F34</t>
        </is>
      </c>
      <c r="B38" s="29" t="inlineStr">
        <is>
          <t>Tasa de desempleo desestacionalizada</t>
        </is>
      </c>
      <c r="C38" s="29" t="inlineStr">
        <is>
          <t>Moody's Analytics (economy.com), con datos del C&amp;SD</t>
        </is>
      </c>
      <c r="D38" s="29" t="inlineStr">
        <is>
          <t>Empresa privada</t>
        </is>
      </c>
      <c r="E38" s="30" t="inlineStr">
        <is>
          <t>https://www.economy.com/hong-kong/unemployment-rate</t>
        </is>
      </c>
      <c r="F38" s="29" t="inlineStr">
        <is>
          <t>Página web</t>
        </is>
      </c>
      <c r="G38" s="29" t="inlineStr">
        <is>
          <t>Solo PDF o página</t>
        </is>
      </c>
      <c r="H38" s="29" t="inlineStr">
        <is>
          <t>“(i) obscure, alter, remove or delete any copyright or other proprietary notices or disclosures contained in the Materials,” — moodys.com Terms of Use (fragmento; uso restringido)</t>
        </is>
      </c>
      <c r="I38" s="29" t="inlineStr">
        <is>
          <t>No</t>
        </is>
      </c>
      <c r="J38" s="29" t="inlineStr">
        <is>
          <t>Hong Kong</t>
        </is>
      </c>
      <c r="K38" s="29" t="inlineStr">
        <is>
          <t>2026-05 a 2026-08</t>
        </is>
      </c>
      <c r="L38" s="29" t="inlineStr">
        <is>
          <t>Mensual</t>
        </is>
      </c>
      <c r="M38" s="31" t="n">
        <v>46301</v>
      </c>
      <c r="N38" s="29" t="inlineStr">
        <is>
          <t>Descartada</t>
        </is>
      </c>
      <c r="O38" s="29" t="inlineStr">
        <is>
          <t>Búsqueda web</t>
        </is>
      </c>
      <c r="P38" s="29" t="inlineStr">
        <is>
          <t>Sitio privado con términos restrictivos: se retira del tablero. Reemplazar por la tabla oficial 210-06101 del C&amp;SD. Riesgo de licencia: restrictiva. Licencia leída en: https://www.moodys.com/web/en/us/legal/terms-of-use.html</t>
        </is>
      </c>
    </row>
    <row r="39" ht="15.75" customHeight="1" s="24">
      <c r="A39" s="29" t="inlineStr">
        <is>
          <t>F35</t>
        </is>
      </c>
      <c r="B39" s="29" t="inlineStr">
        <is>
          <t>Censo 2021 — perfiles por distrito (DC_21C.xlsx)</t>
        </is>
      </c>
      <c r="C39" s="29" t="inlineStr">
        <is>
          <t>Census and Statistics Department</t>
        </is>
      </c>
      <c r="D39" s="29" t="inlineStr">
        <is>
          <t>Entidad pública</t>
        </is>
      </c>
      <c r="E39" s="30" t="inlineStr">
        <is>
          <t>https://www.census2021.gov.hk/doc/DC_21C.xlsx</t>
        </is>
      </c>
      <c r="F39" s="29" t="inlineStr">
        <is>
          <t>XLSX</t>
        </is>
      </c>
      <c r="G39" s="29" t="inlineStr">
        <is>
          <t>Bloquea scripts o pide sesión</t>
        </is>
      </c>
      <c r="H39" s="29" t="inlineStr">
        <is>
          <t>not verified — la página de avisos del sitio no se pudo abrir desde la herramienta; copiar a mano</t>
        </is>
      </c>
      <c r="I39" s="29" t="inlineStr">
        <is>
          <t>Solo conteos por zona</t>
        </is>
      </c>
      <c r="J39" s="29" t="inlineStr">
        <is>
          <t>18 distritos</t>
        </is>
      </c>
      <c r="K39" s="29" t="inlineStr">
        <is>
          <t>2021</t>
        </is>
      </c>
      <c r="L39" s="29" t="inlineStr">
        <is>
          <t>Única vez</t>
        </is>
      </c>
      <c r="M39" s="31" t="n">
        <v>46301</v>
      </c>
      <c r="N39" s="29" t="inlineStr">
        <is>
          <t>Candidata</t>
        </is>
      </c>
      <c r="O39" s="29" t="inlineStr">
        <is>
          <t>Página District Profiles del censo</t>
        </is>
      </c>
      <c r="P39" s="29" t="inlineStr">
        <is>
          <t>Mismos datos que F20; el entorno no pudo leer el binario.</t>
        </is>
      </c>
    </row>
    <row r="40" ht="15.75" customHeight="1" s="24">
      <c r="A40" s="29" t="inlineStr">
        <is>
          <t>F36</t>
        </is>
      </c>
      <c r="B40" s="29" t="inlineStr">
        <is>
          <t>API de tablas web del C&amp;SD (get.php)</t>
        </is>
      </c>
      <c r="C40" s="29" t="inlineStr">
        <is>
          <t>Census and Statistics Department</t>
        </is>
      </c>
      <c r="D40" s="29" t="inlineStr">
        <is>
          <t>Entidad pública</t>
        </is>
      </c>
      <c r="E40" s="30" t="inlineStr">
        <is>
          <t>https://www.censtatd.gov.hk/api/get.php?id=130-06805&amp;lang=en&amp;full_series=1</t>
        </is>
      </c>
      <c r="F40" s="29" t="inlineStr">
        <is>
          <t>JSON</t>
        </is>
      </c>
      <c r="G40" s="29" t="inlineStr">
        <is>
          <t>API sin llave</t>
        </is>
      </c>
      <c r="H40" s="29" t="inlineStr">
        <is>
          <t>not verified — la página de avisos del sitio no se pudo abrir desde la herramienta; copiar a mano</t>
        </is>
      </c>
      <c r="I40" s="29" t="inlineStr">
        <is>
          <t>Solo conteos por zona</t>
        </is>
      </c>
      <c r="J40" s="29" t="inlineStr">
        <is>
          <t>Hong Kong</t>
        </is>
      </c>
      <c r="K40" s="29" t="inlineStr">
        <is>
          <t>varía</t>
        </is>
      </c>
      <c r="L40" s="29" t="inlineStr">
        <is>
          <t>Mensual</t>
        </is>
      </c>
      <c r="M40" s="31" t="n">
        <v>46301</v>
      </c>
      <c r="N40" s="29" t="inlineStr">
        <is>
          <t>No responde</t>
        </is>
      </c>
      <c r="O40" s="29" t="inlineStr">
        <is>
          <t>La IA la propuso</t>
        </is>
      </c>
      <c r="P40" s="29" t="inlineStr">
        <is>
          <t>Respondió «Parameter is not defined».</t>
        </is>
      </c>
    </row>
    <row r="41" ht="15.75" customHeight="1" s="24">
      <c r="A41" s="29" t="inlineStr">
        <is>
          <t>F37</t>
        </is>
      </c>
      <c r="B41" s="29" t="inlineStr">
        <is>
          <t>geoBoundaries — Hong Kong ADM1</t>
        </is>
      </c>
      <c r="C41" s="29" t="inlineStr">
        <is>
          <t>William &amp; Mary geoLab</t>
        </is>
      </c>
      <c r="D41" s="29" t="inlineStr">
        <is>
          <t>Academia u ONG</t>
        </is>
      </c>
      <c r="E41" s="30" t="inlineStr">
        <is>
          <t>https://raw.githubusercontent.com/wmgeolab/geoBoundaries/main/releaseData/gbOpen/HKG/ADM1/geoBoundaries-HKG-ADM1.geojson</t>
        </is>
      </c>
      <c r="F41" s="29" t="inlineStr">
        <is>
          <t>GeoJSON</t>
        </is>
      </c>
      <c r="G41" s="29" t="inlineStr">
        <is>
          <t>Descarga directa</t>
        </is>
      </c>
      <c r="H41" s="29" t="inlineStr">
        <is>
          <t>no declara</t>
        </is>
      </c>
      <c r="I41" s="29" t="inlineStr">
        <is>
          <t>No</t>
        </is>
      </c>
      <c r="J41" s="29" t="inlineStr">
        <is>
          <t>Hong Kong</t>
        </is>
      </c>
      <c r="K41" s="29" t="inlineStr">
        <is>
          <t>—</t>
        </is>
      </c>
      <c r="L41" s="29" t="inlineStr">
        <is>
          <t>No se sabe</t>
        </is>
      </c>
      <c r="M41" s="31" t="n">
        <v>46301</v>
      </c>
      <c r="N41" s="29" t="inlineStr">
        <is>
          <t>No existe (la inventó la IA)</t>
        </is>
      </c>
      <c r="O41" s="29" t="inlineStr">
        <is>
          <t>La IA supuso la ruta</t>
        </is>
      </c>
      <c r="P41" s="29" t="inlineStr">
        <is>
          <t>404.</t>
        </is>
      </c>
    </row>
    <row r="42" ht="15.75" customHeight="1" s="24">
      <c r="A42" s="29" t="inlineStr">
        <is>
          <t>F38</t>
        </is>
      </c>
      <c r="B42" s="29" t="inlineStr">
        <is>
          <t>Highcharts Map Collection — Hong Kong</t>
        </is>
      </c>
      <c r="C42" s="29" t="inlineStr">
        <is>
          <t>Highsoft</t>
        </is>
      </c>
      <c r="D42" s="29" t="inlineStr">
        <is>
          <t>Empresa privada</t>
        </is>
      </c>
      <c r="E42" s="30" t="inlineStr">
        <is>
          <t>https://registry.npmjs.org/@highcharts/map-collection</t>
        </is>
      </c>
      <c r="F42" s="29" t="inlineStr">
        <is>
          <t>JSON</t>
        </is>
      </c>
      <c r="G42" s="29" t="inlineStr">
        <is>
          <t>Descarga directa</t>
        </is>
      </c>
      <c r="H42" s="29" t="inlineStr">
        <is>
          <t>no declara</t>
        </is>
      </c>
      <c r="I42" s="29" t="inlineStr">
        <is>
          <t>No</t>
        </is>
      </c>
      <c r="J42" s="29" t="inlineStr">
        <is>
          <t>Hong Kong</t>
        </is>
      </c>
      <c r="K42" s="29" t="inlineStr">
        <is>
          <t>—</t>
        </is>
      </c>
      <c r="L42" s="29" t="inlineStr">
        <is>
          <t>No se sabe</t>
        </is>
      </c>
      <c r="M42" s="31" t="n">
        <v>46301</v>
      </c>
      <c r="N42" s="29" t="inlineStr">
        <is>
          <t>No existe (la inventó la IA)</t>
        </is>
      </c>
      <c r="O42" s="29" t="inlineStr">
        <is>
          <t>La IA supuso que traía countries/hk</t>
        </is>
      </c>
      <c r="P42" s="29" t="inlineStr">
        <is>
          <t>La versión 2.3.3 no incluye Hong Kong.</t>
        </is>
      </c>
    </row>
    <row r="43" ht="15.75" customHeight="1" s="24">
      <c r="A43" s="29" t="inlineStr">
        <is>
          <t>F39</t>
        </is>
      </c>
      <c r="B43" s="29" t="inlineStr">
        <is>
          <t>DC2015_JSON — elecciones 2015</t>
        </is>
      </c>
      <c r="C43" s="29" t="inlineStr">
        <is>
          <t>UnKnoWn-Consortium (GitHub)</t>
        </is>
      </c>
      <c r="D43" s="29" t="inlineStr">
        <is>
          <t>Plataforma colaborativa</t>
        </is>
      </c>
      <c r="E43" s="30" t="inlineStr">
        <is>
          <t>https://github.com/UnKnoWn-Consortium/DC2015_JSON</t>
        </is>
      </c>
      <c r="F43" s="29" t="inlineStr">
        <is>
          <t>JSON</t>
        </is>
      </c>
      <c r="G43" s="29" t="inlineStr">
        <is>
          <t>Descarga directa</t>
        </is>
      </c>
      <c r="H43" s="29" t="inlineStr">
        <is>
          <t>no declara</t>
        </is>
      </c>
      <c r="I43" s="29" t="inlineStr">
        <is>
          <t>Personas identificables</t>
        </is>
      </c>
      <c r="J43" s="29" t="inlineStr">
        <is>
          <t>Circunscripciones 2015</t>
        </is>
      </c>
      <c r="K43" s="29" t="inlineStr">
        <is>
          <t>2015</t>
        </is>
      </c>
      <c r="L43" s="29" t="inlineStr">
        <is>
          <t>Única vez</t>
        </is>
      </c>
      <c r="M43" s="31" t="n">
        <v>46301</v>
      </c>
      <c r="N43" s="29" t="inlineStr">
        <is>
          <t>Descartada</t>
        </is>
      </c>
      <c r="O43" s="29" t="inlineStr">
        <is>
          <t>Búsqueda web</t>
        </is>
      </c>
      <c r="P43" s="29" t="inlineStr">
        <is>
          <t>Sin licencia y con datos de candidatos.</t>
        </is>
      </c>
    </row>
    <row r="44" ht="15.75" customHeight="1" s="24">
      <c r="A44" s="29" t="inlineStr">
        <is>
          <t>F40</t>
        </is>
      </c>
      <c r="B44" s="29" t="inlineStr">
        <is>
          <t>hkdatasets — accidentes de tránsito 2014–2019</t>
        </is>
      </c>
      <c r="C44" s="29" t="inlineStr">
        <is>
          <t>Hong Kong Districts Info (paquete R)</t>
        </is>
      </c>
      <c r="D44" s="29" t="inlineStr">
        <is>
          <t>Academia u ONG</t>
        </is>
      </c>
      <c r="E44" s="30" t="inlineStr">
        <is>
          <t>https://github.com/Hong-Kong-Districts-Info/hkdatasets</t>
        </is>
      </c>
      <c r="F44" s="29" t="inlineStr">
        <is>
          <t>Otro</t>
        </is>
      </c>
      <c r="G44" s="29" t="inlineStr">
        <is>
          <t>Descarga directa</t>
        </is>
      </c>
      <c r="H44" s="29" t="inlineStr">
        <is>
          <t>not verified — la página de avisos del sitio no se pudo abrir desde la herramienta; copiar a mano</t>
        </is>
      </c>
      <c r="I44" s="29" t="inlineStr">
        <is>
          <t>No</t>
        </is>
      </c>
      <c r="J44" s="29" t="inlineStr">
        <is>
          <t>Hong Kong (puntos)</t>
        </is>
      </c>
      <c r="K44" s="29" t="inlineStr">
        <is>
          <t>2014–2019</t>
        </is>
      </c>
      <c r="L44" s="29" t="inlineStr">
        <is>
          <t>Única vez</t>
        </is>
      </c>
      <c r="M44" s="31" t="n">
        <v>46301</v>
      </c>
      <c r="N44" s="29" t="inlineStr">
        <is>
          <t>Descartada</t>
        </is>
      </c>
      <c r="O44" s="29" t="inlineStr">
        <is>
          <t>README del paquete</t>
        </is>
      </c>
      <c r="P44" s="29" t="inlineStr">
        <is>
          <t>Formato .fst no legible; datos viejos.</t>
        </is>
      </c>
    </row>
    <row r="45" ht="15.75" customHeight="1" s="24">
      <c r="A45" s="29" t="inlineStr">
        <is>
          <t>F41</t>
        </is>
      </c>
      <c r="B45" s="29" t="inlineStr">
        <is>
          <t>Temperatura del último minuto por estación (CSV)</t>
        </is>
      </c>
      <c r="C45" s="29" t="inlineStr">
        <is>
          <t>Hong Kong Observatory</t>
        </is>
      </c>
      <c r="D45" s="29" t="inlineStr">
        <is>
          <t>Entidad pública</t>
        </is>
      </c>
      <c r="E45" s="30" t="inlineStr">
        <is>
          <t>https://data.weather.gov.hk/weatherAPI/hko_data/regional-weather/latest_1min_temperature.csv</t>
        </is>
      </c>
      <c r="F45" s="29" t="inlineStr">
        <is>
          <t>CSV</t>
        </is>
      </c>
      <c r="G45" s="29" t="inlineStr">
        <is>
          <t>Bloquea scripts o pide sesión</t>
        </is>
      </c>
      <c r="H45" s="29" t="inlineStr">
        <is>
          <t>“You are allowed to browse, download, distribute, reproduce, hyperlink to, and print the Data for both commercial and non-commercial purposes on a free-of-charge basis on condition that:- you shall identify clearly the source of the Data … you shall also give proper attribution to the Government, the Relevant Organisations and DATA.GOV.HK” — DATA.GOV.HK Terms and Conditions</t>
        </is>
      </c>
      <c r="I45" s="29" t="inlineStr">
        <is>
          <t>No</t>
        </is>
      </c>
      <c r="J45" s="29" t="inlineStr">
        <is>
          <t>Estaciones HKO</t>
        </is>
      </c>
      <c r="K45" s="29" t="inlineStr">
        <is>
          <t>tiempo real</t>
        </is>
      </c>
      <c r="L45" s="29" t="inlineStr">
        <is>
          <t>Tiempo real</t>
        </is>
      </c>
      <c r="M45" s="31" t="n">
        <v>46301</v>
      </c>
      <c r="N45" s="29" t="inlineStr">
        <is>
          <t>Candidata</t>
        </is>
      </c>
      <c r="O45" s="29" t="inlineStr">
        <is>
          <t>Ficha de data.gov.hk</t>
        </is>
      </c>
      <c r="P45" s="29" t="inlineStr">
        <is>
          <t>robots.txt bloquea a la herramienta. El tablero ya no consulta clima en vivo: solo lee archivos del repo. Licencia leída en: https://data.gov.hk/en/terms-and-conditions</t>
        </is>
      </c>
    </row>
    <row r="46" ht="15.75" customHeight="1" s="24">
      <c r="A46" s="29" t="inlineStr">
        <is>
          <t>F42</t>
        </is>
      </c>
      <c r="B46" s="29" t="inlineStr">
        <is>
          <t>Population and Household Statistics by DC District 2024 (PDF)</t>
        </is>
      </c>
      <c r="C46" s="29" t="inlineStr">
        <is>
          <t>Census and Statistics Department</t>
        </is>
      </c>
      <c r="D46" s="29" t="inlineStr">
        <is>
          <t>Entidad pública</t>
        </is>
      </c>
      <c r="E46" s="30" t="inlineStr">
        <is>
          <t>https://gia.info.gov.hk/general/202503/28/P2025032800255_490449_1_1743135159842.pdf</t>
        </is>
      </c>
      <c r="F46" s="29" t="inlineStr">
        <is>
          <t>PDF</t>
        </is>
      </c>
      <c r="G46" s="29" t="inlineStr">
        <is>
          <t>Solo PDF o página</t>
        </is>
      </c>
      <c r="H46" s="29" t="inlineStr">
        <is>
          <t>not verified — la página de avisos del sitio no se pudo abrir desde la herramienta; copiar a mano</t>
        </is>
      </c>
      <c r="I46" s="29" t="inlineStr">
        <is>
          <t>Solo conteos por zona</t>
        </is>
      </c>
      <c r="J46" s="29" t="inlineStr">
        <is>
          <t>18 distritos</t>
        </is>
      </c>
      <c r="K46" s="29" t="inlineStr">
        <is>
          <t>2024</t>
        </is>
      </c>
      <c r="L46" s="29" t="inlineStr">
        <is>
          <t>Anual</t>
        </is>
      </c>
      <c r="M46" s="31" t="n">
        <v>46301</v>
      </c>
      <c r="N46" s="29" t="inlineStr">
        <is>
          <t>Descartada</t>
        </is>
      </c>
      <c r="O46" s="29" t="inlineStr">
        <is>
          <t>Búsqueda web</t>
        </is>
      </c>
      <c r="P46" s="29" t="inlineStr">
        <is>
          <t>Mismos datos que F21.</t>
        </is>
      </c>
    </row>
    <row r="47" ht="15.75" customHeight="1" s="24">
      <c r="A47" s="29" t="inlineStr">
        <is>
          <t>F43</t>
        </is>
      </c>
      <c r="B47" s="29" t="inlineStr">
        <is>
          <t>API de indicadores del Banco Mundial</t>
        </is>
      </c>
      <c r="C47" s="29" t="inlineStr">
        <is>
          <t>Banco Mundial</t>
        </is>
      </c>
      <c r="D47" s="29" t="inlineStr">
        <is>
          <t>Entidad pública</t>
        </is>
      </c>
      <c r="E47" s="30" t="inlineStr">
        <is>
          <t>https://api.worldbank.org/v2/country/HKG/indicator/NY.GDP.MKTP.CD?format=json</t>
        </is>
      </c>
      <c r="F47" s="29" t="inlineStr">
        <is>
          <t>JSON</t>
        </is>
      </c>
      <c r="G47" s="29" t="inlineStr">
        <is>
          <t>API sin llave</t>
        </is>
      </c>
      <c r="H47" s="29" t="inlineStr">
        <is>
          <t>not verified — la página de avisos del sitio no se pudo abrir desde la herramienta; copiar a mano</t>
        </is>
      </c>
      <c r="I47" s="29" t="inlineStr">
        <is>
          <t>No</t>
        </is>
      </c>
      <c r="J47" s="29" t="inlineStr">
        <is>
          <t>Hong Kong</t>
        </is>
      </c>
      <c r="K47" s="29" t="inlineStr">
        <is>
          <t>1960–2025</t>
        </is>
      </c>
      <c r="L47" s="29" t="inlineStr">
        <is>
          <t>Anual</t>
        </is>
      </c>
      <c r="M47" s="31" t="n">
        <v>46301</v>
      </c>
      <c r="N47" s="29" t="inlineStr">
        <is>
          <t>No responde</t>
        </is>
      </c>
      <c r="O47" s="29" t="inlineStr">
        <is>
          <t>La IA la propuso</t>
        </is>
      </c>
      <c r="P47" s="29" t="inlineStr">
        <is>
          <t>El permiso de consulta venció sin respuesta; reemplazada por FRED.</t>
        </is>
      </c>
    </row>
    <row r="48" ht="15.75" customHeight="1" s="24">
      <c r="A48" s="29" t="inlineStr">
        <is>
          <t>F44</t>
        </is>
      </c>
      <c r="B48" s="29" t="inlineStr">
        <is>
          <t>Archivo histórico de DATA.GOV.HK</t>
        </is>
      </c>
      <c r="C48" s="29" t="inlineStr">
        <is>
          <t>Digital Policy Office</t>
        </is>
      </c>
      <c r="D48" s="29" t="inlineStr">
        <is>
          <t>Entidad pública</t>
        </is>
      </c>
      <c r="E48" s="30" t="inlineStr">
        <is>
          <t>https://api.data.gov.hk/v1/historical-archive/list-files</t>
        </is>
      </c>
      <c r="F48" s="29" t="inlineStr">
        <is>
          <t>JSON</t>
        </is>
      </c>
      <c r="G48" s="29" t="inlineStr">
        <is>
          <t>API sin llave</t>
        </is>
      </c>
      <c r="H48" s="29" t="inlineStr">
        <is>
          <t>“You are allowed to browse, download, distribute, reproduce, hyperlink to, and print the Data for both commercial and non-commercial purposes on a free-of-charge basis on condition that:- you shall identify clearly the source of the Data … you shall also give proper attribution to the Government, the Relevant Organisations and DATA.GOV.HK” — DATA.GOV.HK Terms and Conditions</t>
        </is>
      </c>
      <c r="I48" s="29" t="inlineStr">
        <is>
          <t>No</t>
        </is>
      </c>
      <c r="J48" s="29" t="inlineStr">
        <is>
          <t>Hong Kong</t>
        </is>
      </c>
      <c r="K48" s="29" t="inlineStr">
        <is>
          <t>varía</t>
        </is>
      </c>
      <c r="L48" s="29" t="inlineStr">
        <is>
          <t>Diaria</t>
        </is>
      </c>
      <c r="M48" s="31" t="n">
        <v>46301</v>
      </c>
      <c r="N48" s="29" t="inlineStr">
        <is>
          <t>Candidata</t>
        </is>
      </c>
      <c r="O48" s="29" t="inlineStr">
        <is>
          <t>La IA la probó</t>
        </is>
      </c>
      <c r="P48" s="29" t="inlineStr">
        <is>
          <t>Útil para series históricas de AQHI. Licencia leída en: https://data.gov.hk/en/terms-and-conditions</t>
        </is>
      </c>
    </row>
    <row r="49" ht="15.75" customHeight="1" s="24">
      <c r="A49" s="29" t="inlineStr">
        <is>
          <t>F45</t>
        </is>
      </c>
      <c r="B49" s="29" t="inlineStr">
        <is>
          <t>Página de referencia Cerebro Lima</t>
        </is>
      </c>
      <c r="C49" s="29" t="inlineStr">
        <is>
          <t>Proyecto de referencia (Vercel)</t>
        </is>
      </c>
      <c r="D49" s="29" t="inlineStr">
        <is>
          <t>No se sabe</t>
        </is>
      </c>
      <c r="E49" s="30" t="inlineStr">
        <is>
          <t>https://cerebro-lima.vercel.app/</t>
        </is>
      </c>
      <c r="F49" s="29" t="inlineStr">
        <is>
          <t>Página web</t>
        </is>
      </c>
      <c r="G49" s="29" t="inlineStr">
        <is>
          <t>Bloquea scripts o pide sesión</t>
        </is>
      </c>
      <c r="H49" s="29" t="inlineStr">
        <is>
          <t>no declara</t>
        </is>
      </c>
      <c r="I49" s="29" t="inlineStr">
        <is>
          <t>No</t>
        </is>
      </c>
      <c r="J49" s="29" t="inlineStr">
        <is>
          <t>Lima</t>
        </is>
      </c>
      <c r="K49" s="29" t="inlineStr">
        <is>
          <t>—</t>
        </is>
      </c>
      <c r="L49" s="29" t="inlineStr">
        <is>
          <t>No se sabe</t>
        </is>
      </c>
      <c r="M49" s="31" t="n">
        <v>46321</v>
      </c>
      <c r="N49" s="29" t="inlineStr">
        <is>
          <t>Descartada</t>
        </is>
      </c>
      <c r="O49" s="29" t="inlineStr">
        <is>
          <t>La entregó el profesor/usuario como modelo</t>
        </is>
      </c>
      <c r="P49" s="29" t="inlineStr">
        <is>
          <t>Solo referencia de diseño; pide clave de acceso.</t>
        </is>
      </c>
    </row>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dataValidations count="6">
    <dataValidation sqref="D4:D49" showDropDown="0" showInputMessage="0" showErrorMessage="0" allowBlank="1" type="list">
      <formula1>"Entidad pública,Academia u ONG,Plataforma colaborativa,Empresa privada,Medio de comunicación,No se sabe"</formula1>
    </dataValidation>
    <dataValidation sqref="N4:N49" showDropDown="0" showInputMessage="0" showErrorMessage="0" allowBlank="1" type="list">
      <formula1>"Integrada al lago,Candidata,No responde,No existe (la inventó la IA),Descartada"</formula1>
    </dataValidation>
    <dataValidation sqref="I4:I49" showDropDown="0" showInputMessage="0" showErrorMessage="0" allowBlank="1" type="list">
      <formula1>"No,Solo conteos por zona,Personas identificables,Texto libre sin revisar"</formula1>
    </dataValidation>
    <dataValidation sqref="F4:F49" showDropDown="0" showInputMessage="0" showErrorMessage="0" allowBlank="1" type="list">
      <formula1>"CSV,JSON,XLSX,Parquet,GeoJSON,Shapefile,PDF,Página web,Otro"</formula1>
    </dataValidation>
    <dataValidation sqref="G4:G49" showDropDown="0" showInputMessage="0" showErrorMessage="0" allowBlank="1" type="list">
      <formula1>"API sin llave,API con llave gratuita,Descarga directa,Solo PDF o página,Bloquea scripts o pide sesión"</formula1>
    </dataValidation>
    <dataValidation sqref="L4:L49" showDropDown="0" showInputMessage="0" showErrorMessage="0" allowBlank="1" type="list">
      <formula1>"Tiempo real,Diaria,Mensual,Trimestral,Anual,Única vez,No se sabe"</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72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9" customWidth="1" style="24" min="1" max="1"/>
    <col width="20" customWidth="1" style="24" min="2" max="2"/>
    <col width="22" customWidth="1" style="24" min="3" max="3"/>
    <col width="20" customWidth="1" style="24" min="4" max="4"/>
    <col width="36" customWidth="1" style="24" min="5" max="5"/>
    <col width="12" customWidth="1" style="24" min="6" max="6"/>
    <col width="16" customWidth="1" style="24" min="7" max="7"/>
    <col width="14" customWidth="1" style="24" min="8" max="8"/>
    <col width="11" customWidth="1" style="24" min="9" max="9"/>
    <col width="22" customWidth="1" style="24" min="10" max="10"/>
    <col width="16" customWidth="1" style="24" min="11" max="11"/>
    <col width="28" customWidth="1" style="24" min="12" max="12"/>
    <col width="32" customWidth="1" style="24" min="13" max="13"/>
    <col width="8.859999999999999" customWidth="1" style="24" min="14" max="26"/>
  </cols>
  <sheetData>
    <row r="1">
      <c r="A1" s="2" t="inlineStr">
        <is>
          <t>2. Diccionario de datos</t>
        </is>
      </c>
    </row>
    <row r="2">
      <c r="A2" s="6" t="inlineStr">
        <is>
          <t>Una fila por campo que quedó en el lago. Si un campo del lago no aparece aquí, no existe.</t>
        </is>
      </c>
    </row>
    <row r="3" ht="42" customHeight="1" s="24">
      <c r="A3" s="8" t="inlineStr">
        <is>
          <t>ID fuente</t>
        </is>
      </c>
      <c r="B3" s="8" t="inlineStr">
        <is>
          <t>Archivo o tabla en el lago</t>
        </is>
      </c>
      <c r="C3" s="8" t="inlineStr">
        <is>
          <t>Nombre del campo en el lago</t>
        </is>
      </c>
      <c r="D3" s="8" t="inlineStr">
        <is>
          <t>Nombre original en la fuente</t>
        </is>
      </c>
      <c r="E3" s="8" t="inlineStr">
        <is>
          <t>Qué significa (en una frase)</t>
        </is>
      </c>
      <c r="F3" s="8" t="inlineStr">
        <is>
          <t>Tipo de dato</t>
        </is>
      </c>
      <c r="G3" s="8" t="inlineStr">
        <is>
          <t>Unidad de medida</t>
        </is>
      </c>
      <c r="H3" s="8" t="inlineStr">
        <is>
          <t>Ejemplo de valor</t>
        </is>
      </c>
      <c r="I3" s="8" t="inlineStr">
        <is>
          <t>¿Puede venir vacío?</t>
        </is>
      </c>
      <c r="J3" s="8" t="inlineStr">
        <is>
          <t>Valores permitidos o rango</t>
        </is>
      </c>
      <c r="K3" s="8" t="inlineStr">
        <is>
          <t>Clasificación</t>
        </is>
      </c>
      <c r="L3" s="8" t="inlineStr">
        <is>
          <t>Transformación que le hicieron</t>
        </is>
      </c>
      <c r="M3" s="8" t="inlineStr">
        <is>
          <t>Pregunta del sistema que ayuda a responder</t>
        </is>
      </c>
    </row>
    <row r="4">
      <c r="A4" s="32" t="n"/>
      <c r="B4" s="32" t="inlineStr">
        <is>
          <t>(fila de ejemplo de la plantilla: vacía a propósito)</t>
        </is>
      </c>
      <c r="C4" s="32" t="n"/>
      <c r="D4" s="32" t="n"/>
      <c r="E4" s="32" t="n"/>
      <c r="F4" s="32" t="n"/>
      <c r="G4" s="32" t="n"/>
      <c r="H4" s="32" t="n"/>
      <c r="I4" s="32" t="n"/>
      <c r="J4" s="32" t="n"/>
      <c r="K4" s="32" t="n"/>
      <c r="L4" s="32" t="n"/>
      <c r="M4" s="32" t="n"/>
    </row>
    <row r="5">
      <c r="A5" s="33" t="inlineStr">
        <is>
          <t>F20, F21, F22, F23, F24, F25, F27, F28, F30, F32, F10</t>
        </is>
      </c>
      <c r="B5" s="33" t="inlineStr">
        <is>
          <t>public/data/panorama.json</t>
        </is>
      </c>
      <c r="C5" s="33" t="inlineStr">
        <is>
          <t>meta.generado_utc</t>
        </is>
      </c>
      <c r="D5" s="33" t="inlineStr">
        <is>
          <t>(pipeline)</t>
        </is>
      </c>
      <c r="E5" s="33" t="inlineStr">
        <is>
          <t>Momento en que el pipeline generó el archivo.</t>
        </is>
      </c>
      <c r="F5" s="33" t="inlineStr">
        <is>
          <t>Fecha</t>
        </is>
      </c>
      <c r="G5" s="33" t="inlineStr">
        <is>
          <t>fecha-hora UTC</t>
        </is>
      </c>
      <c r="H5" s="33" t="inlineStr">
        <is>
          <t>2026-10-26T12:25:12Z</t>
        </is>
      </c>
      <c r="I5" s="33" t="inlineStr">
        <is>
          <t>No</t>
        </is>
      </c>
      <c r="J5" s="33" t="inlineStr">
        <is>
          <t>2026-10-26T12:25:12Z</t>
        </is>
      </c>
      <c r="K5" s="33" t="inlineStr">
        <is>
          <t>Pública</t>
        </is>
      </c>
      <c r="L5" s="33" t="inlineStr">
        <is>
          <t>datetime.utcnow() al escribir el archivo.</t>
        </is>
      </c>
      <c r="M5" s="33" t="inlineStr">
        <is>
          <t>¿De cuándo son los datos que veo?</t>
        </is>
      </c>
    </row>
    <row r="6">
      <c r="A6" s="33" t="inlineStr">
        <is>
          <t>F20, F21, F22, F23, F24, F25, F27, F28, F30, F32, F10</t>
        </is>
      </c>
      <c r="B6" s="33" t="inlineStr">
        <is>
          <t>public/data/panorama.json</t>
        </is>
      </c>
      <c r="C6" s="33" t="inlineStr">
        <is>
          <t>meta.ciudad</t>
        </is>
      </c>
      <c r="D6" s="33" t="inlineStr">
        <is>
          <t>(pipeline)</t>
        </is>
      </c>
      <c r="E6" s="33" t="inlineStr">
        <is>
          <t>Ciudad a la que corresponde el archivo.</t>
        </is>
      </c>
      <c r="F6" s="33" t="inlineStr">
        <is>
          <t>Texto</t>
        </is>
      </c>
      <c r="G6" s="33" t="inlineStr">
        <is>
          <t>—</t>
        </is>
      </c>
      <c r="H6" s="33" t="inlineStr">
        <is>
          <t>Hong Kong</t>
        </is>
      </c>
      <c r="I6" s="33" t="inlineStr">
        <is>
          <t>No</t>
        </is>
      </c>
      <c r="J6" s="33" t="inlineStr">
        <is>
          <t>Hong Kong</t>
        </is>
      </c>
      <c r="K6" s="33" t="inlineStr">
        <is>
          <t>Pública</t>
        </is>
      </c>
      <c r="L6" s="33" t="inlineStr">
        <is>
          <t>Constante.</t>
        </is>
      </c>
      <c r="M6" s="33" t="inlineStr">
        <is>
          <t>¿De qué ciudad es el tablero?</t>
        </is>
      </c>
    </row>
    <row r="7">
      <c r="A7" s="33" t="inlineStr">
        <is>
          <t>F20, F21, F22, F23, F24, F25, F27, F28, F30, F32, F10</t>
        </is>
      </c>
      <c r="B7" s="33" t="inlineStr">
        <is>
          <t>public/data/panorama.json</t>
        </is>
      </c>
      <c r="C7" s="33" t="inlineStr">
        <is>
          <t>meta.unidad_territorial</t>
        </is>
      </c>
      <c r="D7" s="33" t="inlineStr">
        <is>
          <t>(pipeline)</t>
        </is>
      </c>
      <c r="E7" s="33" t="inlineStr">
        <is>
          <t>Unidad territorial de las filas del archivo.</t>
        </is>
      </c>
      <c r="F7" s="33" t="inlineStr">
        <is>
          <t>Texto</t>
        </is>
      </c>
      <c r="G7" s="33" t="inlineStr">
        <is>
          <t>—</t>
        </is>
      </c>
      <c r="H7" s="33" t="inlineStr">
        <is>
          <t>18 distritos (District Council districts)</t>
        </is>
      </c>
      <c r="I7" s="33" t="inlineStr">
        <is>
          <t>No</t>
        </is>
      </c>
      <c r="J7" s="33" t="inlineStr">
        <is>
          <t>18 distritos (District Council districts)</t>
        </is>
      </c>
      <c r="K7" s="33" t="inlineStr">
        <is>
          <t>Pública</t>
        </is>
      </c>
      <c r="L7" s="33" t="inlineStr">
        <is>
          <t>Constante.</t>
        </is>
      </c>
      <c r="M7" s="33" t="inlineStr">
        <is>
          <t>¿A qué escala se lee cada cifra?</t>
        </is>
      </c>
    </row>
    <row r="8">
      <c r="A8" s="33" t="inlineStr">
        <is>
          <t>F20, F21, F22, F23, F24, F25, F27, F28, F30, F32, F10</t>
        </is>
      </c>
      <c r="B8" s="33" t="inlineStr">
        <is>
          <t>public/data/panorama.json</t>
        </is>
      </c>
      <c r="C8" s="33" t="inlineStr">
        <is>
          <t>meta.catalogo</t>
        </is>
      </c>
      <c r="D8" s="33" t="inlineStr">
        <is>
          <t>(pipeline)</t>
        </is>
      </c>
      <c r="E8" s="33" t="inlineStr">
        <is>
          <t>Ruta al catálogo de fuentes que documenta el archivo.</t>
        </is>
      </c>
      <c r="F8" s="33" t="inlineStr">
        <is>
          <t>Texto</t>
        </is>
      </c>
      <c r="G8" s="33" t="inlineStr">
        <is>
          <t>—</t>
        </is>
      </c>
      <c r="H8" s="33" t="inlineStr">
        <is>
          <t>catalogo/catalogo.json</t>
        </is>
      </c>
      <c r="I8" s="33" t="inlineStr">
        <is>
          <t>No</t>
        </is>
      </c>
      <c r="J8" s="33" t="inlineStr">
        <is>
          <t>catalogo/catalogo.json</t>
        </is>
      </c>
      <c r="K8" s="33" t="inlineStr">
        <is>
          <t>Pública</t>
        </is>
      </c>
      <c r="L8" s="33" t="inlineStr">
        <is>
          <t>Constante.</t>
        </is>
      </c>
      <c r="M8" s="33" t="inlineStr">
        <is>
          <t>¿Dónde está la procedencia?</t>
        </is>
      </c>
    </row>
    <row r="9">
      <c r="A9" s="33" t="inlineStr">
        <is>
          <t>F20</t>
        </is>
      </c>
      <c r="B9" s="33" t="inlineStr">
        <is>
          <t>public/data/panorama.json</t>
        </is>
      </c>
      <c r="C9" s="33" t="inlineStr">
        <is>
          <t>kpis.poblacion_censo_2021</t>
        </is>
      </c>
      <c r="D9" s="33" t="inlineStr">
        <is>
          <t>Population (DC_21C)</t>
        </is>
      </c>
      <c r="E9" s="33" t="inlineStr">
        <is>
          <t>Población total del Censo 2021 (suma de los 18 distritos).</t>
        </is>
      </c>
      <c r="F9" s="33" t="inlineStr">
        <is>
          <t>Entero</t>
        </is>
      </c>
      <c r="G9" s="33" t="inlineStr">
        <is>
          <t>personas</t>
        </is>
      </c>
      <c r="H9" s="33" t="inlineStr">
        <is>
          <t>7411945</t>
        </is>
      </c>
      <c r="I9" s="33" t="inlineStr">
        <is>
          <t>No</t>
        </is>
      </c>
      <c r="J9" s="33" t="inlineStr">
        <is>
          <t>7.411.945 a 7.411.945</t>
        </is>
      </c>
      <c r="K9" s="33" t="inlineStr">
        <is>
          <t>Pública</t>
        </is>
      </c>
      <c r="L9" s="33" t="inlineStr">
        <is>
          <t>Suma por distrito.</t>
        </is>
      </c>
      <c r="M9" s="33" t="inlineStr">
        <is>
          <t>¿Cuánta gente vive en Hong Kong?</t>
        </is>
      </c>
    </row>
    <row r="10">
      <c r="A10" s="33" t="inlineStr">
        <is>
          <t>F21</t>
        </is>
      </c>
      <c r="B10" s="33" t="inlineStr">
        <is>
          <t>public/data/panorama.json</t>
        </is>
      </c>
      <c r="C10" s="33" t="inlineStr">
        <is>
          <t>kpis.poblacion_tierra_mitad_anio_2025</t>
        </is>
      </c>
      <c r="D10" s="33" t="inlineStr">
        <is>
          <t>Land-based population (DC_GHS)</t>
        </is>
      </c>
      <c r="E10" s="33" t="inlineStr">
        <is>
          <t>Población terrestre a mitad de 2025 (suma de distritos).</t>
        </is>
      </c>
      <c r="F10" s="33" t="inlineStr">
        <is>
          <t>Entero</t>
        </is>
      </c>
      <c r="G10" s="33" t="inlineStr">
        <is>
          <t>personas</t>
        </is>
      </c>
      <c r="H10" s="33" t="inlineStr">
        <is>
          <t>7497900</t>
        </is>
      </c>
      <c r="I10" s="33" t="inlineStr">
        <is>
          <t>No</t>
        </is>
      </c>
      <c r="J10" s="33" t="inlineStr">
        <is>
          <t>7.497.900 a 7.497.900</t>
        </is>
      </c>
      <c r="K10" s="33" t="inlineStr">
        <is>
          <t>Pública</t>
        </is>
      </c>
      <c r="L10" s="33" t="inlineStr">
        <is>
          <t>Suma por distrito del año 2025.</t>
        </is>
      </c>
      <c r="M10" s="33" t="inlineStr">
        <is>
          <t>¿Cuánta gente vive hoy?</t>
        </is>
      </c>
    </row>
    <row r="11">
      <c r="A11" s="33" t="inlineStr">
        <is>
          <t>F20</t>
        </is>
      </c>
      <c r="B11" s="33" t="inlineStr">
        <is>
          <t>public/data/panorama.json</t>
        </is>
      </c>
      <c r="C11" s="33" t="inlineStr">
        <is>
          <t>kpis.hogares_2021</t>
        </is>
      </c>
      <c r="D11" s="33" t="inlineStr">
        <is>
          <t>dh</t>
        </is>
      </c>
      <c r="E11" s="33" t="inlineStr">
        <is>
          <t>Número de hogares domésticos en 2021.</t>
        </is>
      </c>
      <c r="F11" s="33" t="inlineStr">
        <is>
          <t>Entero</t>
        </is>
      </c>
      <c r="G11" s="33" t="inlineStr">
        <is>
          <t>hogares</t>
        </is>
      </c>
      <c r="H11" s="33" t="inlineStr">
        <is>
          <t>2673714</t>
        </is>
      </c>
      <c r="I11" s="33" t="inlineStr">
        <is>
          <t>No</t>
        </is>
      </c>
      <c r="J11" s="33" t="inlineStr">
        <is>
          <t>2.673.714 a 2.673.714</t>
        </is>
      </c>
      <c r="K11" s="33" t="inlineStr">
        <is>
          <t>Pública</t>
        </is>
      </c>
      <c r="L11" s="33" t="inlineStr">
        <is>
          <t>Copiado de curated/demografia/distritos_censo2021.csv (unión por codigo). Origen: Renombrado.</t>
        </is>
      </c>
      <c r="M11" s="33" t="inlineStr">
        <is>
          <t>¿Cuántos hogares hay por distrito?</t>
        </is>
      </c>
    </row>
    <row r="12">
      <c r="A12" s="33" t="inlineStr">
        <is>
          <t>F22</t>
        </is>
      </c>
      <c r="B12" s="33" t="inlineStr">
        <is>
          <t>public/data/panorama.json</t>
        </is>
      </c>
      <c r="C12" s="33" t="inlineStr">
        <is>
          <t>kpis.area_terrestre_km2</t>
        </is>
      </c>
      <c r="D12" s="33" t="inlineStr">
        <is>
          <t>Area (km²)</t>
        </is>
      </c>
      <c r="E12" s="33" t="inlineStr">
        <is>
          <t>Área terrestre oficial sumada de los 18 distritos.</t>
        </is>
      </c>
      <c r="F12" s="33" t="inlineStr">
        <is>
          <t>Decimal</t>
        </is>
      </c>
      <c r="G12" s="33" t="inlineStr">
        <is>
          <t>km²</t>
        </is>
      </c>
      <c r="H12" s="33" t="inlineStr">
        <is>
          <t>1112.78</t>
        </is>
      </c>
      <c r="I12" s="33" t="inlineStr">
        <is>
          <t>No</t>
        </is>
      </c>
      <c r="J12" s="33" t="inlineStr">
        <is>
          <t>1.113 a 1.113</t>
        </is>
      </c>
      <c r="K12" s="33" t="inlineStr">
        <is>
          <t>Pública</t>
        </is>
      </c>
      <c r="L12" s="33" t="inlineStr">
        <is>
          <t>Suma de área por distrito.</t>
        </is>
      </c>
      <c r="M12" s="33" t="inlineStr">
        <is>
          <t>¿Qué tan grande es el territorio habitable?</t>
        </is>
      </c>
    </row>
    <row r="13">
      <c r="A13" s="33" t="inlineStr">
        <is>
          <t>F20, F22</t>
        </is>
      </c>
      <c r="B13" s="33" t="inlineStr">
        <is>
          <t>public/data/panorama.json</t>
        </is>
      </c>
      <c r="C13" s="33" t="inlineStr">
        <is>
          <t>kpis.densidad_media_hab_km2</t>
        </is>
      </c>
      <c r="D13" s="33" t="inlineStr">
        <is>
          <t>(calculado)</t>
        </is>
      </c>
      <c r="E13" s="33" t="inlineStr">
        <is>
          <t>Población del censo dividida por el área terrestre.</t>
        </is>
      </c>
      <c r="F13" s="33" t="inlineStr">
        <is>
          <t>Decimal</t>
        </is>
      </c>
      <c r="G13" s="33" t="inlineStr">
        <is>
          <t>hab/km²</t>
        </is>
      </c>
      <c r="H13" s="33" t="inlineStr">
        <is>
          <t>6661.0</t>
        </is>
      </c>
      <c r="I13" s="33" t="inlineStr">
        <is>
          <t>No</t>
        </is>
      </c>
      <c r="J13" s="33" t="inlineStr">
        <is>
          <t>6.661 a 6.661</t>
        </is>
      </c>
      <c r="K13" s="33" t="inlineStr">
        <is>
          <t>Pública</t>
        </is>
      </c>
      <c r="L13" s="33" t="inlineStr">
        <is>
          <t>poblacion_censo_2021 / area_terrestre_km2.</t>
        </is>
      </c>
      <c r="M13" s="33" t="inlineStr">
        <is>
          <t>¿Qué tan denso es Hong Kong?</t>
        </is>
      </c>
    </row>
    <row r="14">
      <c r="A14" s="33" t="inlineStr">
        <is>
          <t>F20</t>
        </is>
      </c>
      <c r="B14" s="33" t="inlineStr">
        <is>
          <t>public/data/panorama.json</t>
        </is>
      </c>
      <c r="C14" s="33" t="inlineStr">
        <is>
          <t>kpis.pct_65_mas_2021</t>
        </is>
      </c>
      <c r="D14" s="33" t="inlineStr">
        <is>
          <t>(calculado)</t>
        </is>
      </c>
      <c r="E14" s="33" t="inlineStr">
        <is>
          <t>Porcentaje de la población con 65 años o más en 2021.</t>
        </is>
      </c>
      <c r="F14" s="33" t="inlineStr">
        <is>
          <t>Decimal</t>
        </is>
      </c>
      <c r="G14" s="33" t="inlineStr">
        <is>
          <t>%</t>
        </is>
      </c>
      <c r="H14" s="33" t="inlineStr">
        <is>
          <t>19.58</t>
        </is>
      </c>
      <c r="I14" s="33" t="inlineStr">
        <is>
          <t>No</t>
        </is>
      </c>
      <c r="J14" s="33" t="inlineStr">
        <is>
          <t>19,58 a 19,58</t>
        </is>
      </c>
      <c r="K14" s="33" t="inlineStr">
        <is>
          <t>Pública</t>
        </is>
      </c>
      <c r="L14" s="33" t="inlineStr">
        <is>
          <t>Suma 65+ / población × 100.</t>
        </is>
      </c>
      <c r="M14" s="33" t="inlineStr">
        <is>
          <t>¿Qué tan envejecida está la ciudad?</t>
        </is>
      </c>
    </row>
    <row r="15">
      <c r="A15" s="33" t="inlineStr">
        <is>
          <t>F21</t>
        </is>
      </c>
      <c r="B15" s="33" t="inlineStr">
        <is>
          <t>public/data/panorama.json</t>
        </is>
      </c>
      <c r="C15" s="33" t="inlineStr">
        <is>
          <t>kpis.ingreso_mediano_hogar_rango_distritos_2025[]</t>
        </is>
      </c>
      <c r="D15" s="33" t="inlineStr">
        <is>
          <t>Median monthly domestic household income</t>
        </is>
      </c>
      <c r="E15" s="33" t="inlineStr">
        <is>
          <t>Mínimo y máximo del ingreso mediano del hogar entre distritos en 2025.</t>
        </is>
      </c>
      <c r="F15" s="33" t="inlineStr">
        <is>
          <t>Entero</t>
        </is>
      </c>
      <c r="G15" s="33" t="inlineStr">
        <is>
          <t>HK$/mes</t>
        </is>
      </c>
      <c r="H15" s="33" t="inlineStr">
        <is>
          <t>24900</t>
        </is>
      </c>
      <c r="I15" s="33" t="inlineStr">
        <is>
          <t>No</t>
        </is>
      </c>
      <c r="J15" s="33" t="inlineStr">
        <is>
          <t>24.900 a 45.000</t>
        </is>
      </c>
      <c r="K15" s="33" t="inlineStr">
        <is>
          <t>Pública</t>
        </is>
      </c>
      <c r="L15" s="33" t="inlineStr">
        <is>
          <t>min() y max() sobre los 18 distritos.</t>
        </is>
      </c>
      <c r="M15" s="33" t="inlineStr">
        <is>
          <t>¿Qué tan desigual es el ingreso entre distritos?</t>
        </is>
      </c>
    </row>
    <row r="16">
      <c r="A16" s="33" t="inlineStr">
        <is>
          <t>F28</t>
        </is>
      </c>
      <c r="B16" s="33" t="inlineStr">
        <is>
          <t>public/data/panorama.json</t>
        </is>
      </c>
      <c r="C16" s="33" t="inlineStr">
        <is>
          <t>kpis.pib_per_capita_usd_2025</t>
        </is>
      </c>
      <c r="D16" s="33" t="inlineStr">
        <is>
          <t>NYGDPPCAPCDHKG</t>
        </is>
      </c>
      <c r="E16" s="33" t="inlineStr">
        <is>
          <t>PIB per cápita de Hong Kong en 2025.</t>
        </is>
      </c>
      <c r="F16" s="33" t="inlineStr">
        <is>
          <t>Decimal</t>
        </is>
      </c>
      <c r="G16" s="33" t="inlineStr">
        <is>
          <t>US$ corrientes</t>
        </is>
      </c>
      <c r="H16" s="33" t="inlineStr">
        <is>
          <t>56983.0</t>
        </is>
      </c>
      <c r="I16" s="33" t="inlineStr">
        <is>
          <t>No</t>
        </is>
      </c>
      <c r="J16" s="33" t="inlineStr">
        <is>
          <t>5,698e+04 a 5,698e+04</t>
        </is>
      </c>
      <c r="K16" s="33" t="inlineStr">
        <is>
          <t>Pública</t>
        </is>
      </c>
      <c r="L16" s="33" t="inlineStr">
        <is>
          <t>Último año de la serie.</t>
        </is>
      </c>
      <c r="M16" s="33" t="inlineStr">
        <is>
          <t>¿Cómo va la economía?</t>
        </is>
      </c>
    </row>
    <row r="17">
      <c r="A17" s="33" t="inlineStr">
        <is>
          <t>F30</t>
        </is>
      </c>
      <c r="B17" s="33" t="inlineStr">
        <is>
          <t>public/data/panorama.json</t>
        </is>
      </c>
      <c r="C17" s="33" t="inlineStr">
        <is>
          <t>kpis.inflacion_ipc_2025_pct</t>
        </is>
      </c>
      <c r="D17" s="33" t="inlineStr">
        <is>
          <t>FPCPITOTLZGHKG</t>
        </is>
      </c>
      <c r="E17" s="33" t="inlineStr">
        <is>
          <t>Inflación anual del IPC en 2025.</t>
        </is>
      </c>
      <c r="F17" s="33" t="inlineStr">
        <is>
          <t>Decimal</t>
        </is>
      </c>
      <c r="G17" s="33" t="inlineStr">
        <is>
          <t>%</t>
        </is>
      </c>
      <c r="H17" s="33" t="inlineStr">
        <is>
          <t>1.44</t>
        </is>
      </c>
      <c r="I17" s="33" t="inlineStr">
        <is>
          <t>No</t>
        </is>
      </c>
      <c r="J17" s="33" t="inlineStr">
        <is>
          <t>1,44 a 1,44</t>
        </is>
      </c>
      <c r="K17" s="33" t="inlineStr">
        <is>
          <t>Pública</t>
        </is>
      </c>
      <c r="L17" s="33" t="inlineStr">
        <is>
          <t>Último año de la serie.</t>
        </is>
      </c>
      <c r="M17" s="33" t="inlineStr">
        <is>
          <t>¿Cómo cambian los precios?</t>
        </is>
      </c>
    </row>
    <row r="18">
      <c r="A18" s="33" t="inlineStr">
        <is>
          <t>F23</t>
        </is>
      </c>
      <c r="B18" s="33" t="inlineStr">
        <is>
          <t>public/data/panorama.json</t>
        </is>
      </c>
      <c r="C18" s="33" t="inlineStr">
        <is>
          <t>kpis.paradas_transporte_publico</t>
        </is>
      </c>
      <c r="D18" s="33" t="inlineStr">
        <is>
          <t>stopList</t>
        </is>
      </c>
      <c r="E18" s="33" t="inlineStr">
        <is>
          <t>Paradas de transporte público distintas.</t>
        </is>
      </c>
      <c r="F18" s="33" t="inlineStr">
        <is>
          <t>Entero</t>
        </is>
      </c>
      <c r="G18" s="33" t="inlineStr">
        <is>
          <t>paradas</t>
        </is>
      </c>
      <c r="H18" s="33" t="inlineStr">
        <is>
          <t>15285</t>
        </is>
      </c>
      <c r="I18" s="33" t="inlineStr">
        <is>
          <t>No</t>
        </is>
      </c>
      <c r="J18" s="33" t="inlineStr">
        <is>
          <t>15.285 a 15.285</t>
        </is>
      </c>
      <c r="K18" s="33" t="inlineStr">
        <is>
          <t>Pública</t>
        </is>
      </c>
      <c r="L18" s="33" t="inlineStr">
        <is>
          <t>Conteo de IDs únicos.</t>
        </is>
      </c>
      <c r="M18" s="33" t="inlineStr">
        <is>
          <t>¿Qué tan cubierta está la ciudad por transporte?</t>
        </is>
      </c>
    </row>
    <row r="19">
      <c r="A19" s="33" t="inlineStr">
        <is>
          <t>F23</t>
        </is>
      </c>
      <c r="B19" s="33" t="inlineStr">
        <is>
          <t>public/data/panorama.json</t>
        </is>
      </c>
      <c r="C19" s="33" t="inlineStr">
        <is>
          <t>kpis.estaciones_mtr</t>
        </is>
      </c>
      <c r="D19" s="33" t="inlineStr">
        <is>
          <t>stopList (co=mtr)</t>
        </is>
      </c>
      <c r="E19" s="33" t="inlineStr">
        <is>
          <t>Estaciones de la red MTR.</t>
        </is>
      </c>
      <c r="F19" s="33" t="inlineStr">
        <is>
          <t>Entero</t>
        </is>
      </c>
      <c r="G19" s="33" t="inlineStr">
        <is>
          <t>estaciones</t>
        </is>
      </c>
      <c r="H19" s="33" t="inlineStr">
        <is>
          <t>97</t>
        </is>
      </c>
      <c r="I19" s="33" t="inlineStr">
        <is>
          <t>No</t>
        </is>
      </c>
      <c r="J19" s="33" t="inlineStr">
        <is>
          <t>97 a 97</t>
        </is>
      </c>
      <c r="K19" s="33" t="inlineStr">
        <is>
          <t>Pública</t>
        </is>
      </c>
      <c r="L19" s="33" t="inlineStr">
        <is>
          <t>Conteo de paradas del operador MTR.</t>
        </is>
      </c>
      <c r="M19" s="33" t="inlineStr">
        <is>
          <t>¿Qué tan cubierta está la ciudad por metro?</t>
        </is>
      </c>
    </row>
    <row r="20">
      <c r="A20" s="33" t="inlineStr">
        <is>
          <t>F24</t>
        </is>
      </c>
      <c r="B20" s="33" t="inlineStr">
        <is>
          <t>public/data/panorama.json</t>
        </is>
      </c>
      <c r="C20" s="33" t="inlineStr">
        <is>
          <t>kpis.hospitales_urgencias</t>
        </is>
      </c>
      <c r="D20" s="33" t="inlineStr">
        <is>
          <t>(calculado)</t>
        </is>
      </c>
      <c r="E20" s="33" t="inlineStr">
        <is>
          <t>Hospitales públicos con urgencias ubicados en el distrito.</t>
        </is>
      </c>
      <c r="F20" s="33" t="inlineStr">
        <is>
          <t>Entero</t>
        </is>
      </c>
      <c r="G20" s="33" t="inlineStr">
        <is>
          <t>hospitales</t>
        </is>
      </c>
      <c r="H20" s="33" t="inlineStr">
        <is>
          <t>18</t>
        </is>
      </c>
      <c r="I20" s="33" t="inlineStr">
        <is>
          <t>No</t>
        </is>
      </c>
      <c r="J20" s="33" t="inlineStr">
        <is>
          <t>18 a 18</t>
        </is>
      </c>
      <c r="K20" s="33" t="inlineStr">
        <is>
          <t>Pública</t>
        </is>
      </c>
      <c r="L20" s="33" t="inlineStr">
        <is>
          <t>Copiado de curated/infraestructura/distritos_infraestructura.csv (unión por codigo). Origen: Conteo tras unión espacial de hospitales a distritos.</t>
        </is>
      </c>
      <c r="M20" s="33" t="inlineStr">
        <is>
          <t>¿Cuántas urgencias hay en cada distrito? (Wiki 1.8)</t>
        </is>
      </c>
    </row>
    <row r="21" ht="15.75" customHeight="1" s="24">
      <c r="A21" s="33" t="inlineStr">
        <is>
          <t>F25, F27</t>
        </is>
      </c>
      <c r="B21" s="33" t="inlineStr">
        <is>
          <t>public/data/panorama.json</t>
        </is>
      </c>
      <c r="C21" s="33" t="inlineStr">
        <is>
          <t>kpis.estaciones_meteorologicas</t>
        </is>
      </c>
      <c r="D21" s="33" t="inlineStr">
        <is>
          <t>(calculado)</t>
        </is>
      </c>
      <c r="E21" s="33" t="inlineStr">
        <is>
          <t>Estaciones del Observatorio ubicadas en el distrito.</t>
        </is>
      </c>
      <c r="F21" s="33" t="inlineStr">
        <is>
          <t>Entero</t>
        </is>
      </c>
      <c r="G21" s="33" t="inlineStr">
        <is>
          <t>estaciones</t>
        </is>
      </c>
      <c r="H21" s="33" t="inlineStr">
        <is>
          <t>86</t>
        </is>
      </c>
      <c r="I21" s="33" t="inlineStr">
        <is>
          <t>No</t>
        </is>
      </c>
      <c r="J21" s="33" t="inlineStr">
        <is>
          <t>86 a 86</t>
        </is>
      </c>
      <c r="K21" s="33" t="inlineStr">
        <is>
          <t>Pública</t>
        </is>
      </c>
      <c r="L21" s="33" t="inlineStr">
        <is>
          <t>Copiado de curated/sensores/distritos_sensores.csv (unión por codigo). Origen: Conteo tras unión espacial.</t>
        </is>
      </c>
      <c r="M21" s="33" t="inlineStr">
        <is>
          <t>¿Qué tan monitoreado está el clima en cada distrito?</t>
        </is>
      </c>
    </row>
    <row r="22" ht="15.75" customHeight="1" s="24">
      <c r="A22" s="33" t="inlineStr">
        <is>
          <t>F25, F27</t>
        </is>
      </c>
      <c r="B22" s="33" t="inlineStr">
        <is>
          <t>public/data/panorama.json</t>
        </is>
      </c>
      <c r="C22" s="33" t="inlineStr">
        <is>
          <t>kpis.estaciones_calidad_aire</t>
        </is>
      </c>
      <c r="D22" s="33" t="inlineStr">
        <is>
          <t>(calculado)</t>
        </is>
      </c>
      <c r="E22" s="33" t="inlineStr">
        <is>
          <t>Estaciones de calidad del aire asignadas al distrito.</t>
        </is>
      </c>
      <c r="F22" s="33" t="inlineStr">
        <is>
          <t>Entero</t>
        </is>
      </c>
      <c r="G22" s="33" t="inlineStr">
        <is>
          <t>estaciones</t>
        </is>
      </c>
      <c r="H22" s="33" t="inlineStr">
        <is>
          <t>18</t>
        </is>
      </c>
      <c r="I22" s="33" t="inlineStr">
        <is>
          <t>No</t>
        </is>
      </c>
      <c r="J22" s="33" t="inlineStr">
        <is>
          <t>18 a 18</t>
        </is>
      </c>
      <c r="K22" s="33" t="inlineStr">
        <is>
          <t>Pública</t>
        </is>
      </c>
      <c r="L22" s="33" t="inlineStr">
        <is>
          <t>Copiado de curated/sensores/distritos_sensores.csv (unión por codigo). Origen: Conteo por distrito asignado.</t>
        </is>
      </c>
      <c r="M22" s="33" t="inlineStr">
        <is>
          <t>¿Qué distritos tienen medición de calidad del aire?</t>
        </is>
      </c>
    </row>
    <row r="23" ht="15.75" customHeight="1" s="24">
      <c r="A23" s="33" t="inlineStr">
        <is>
          <t>F32</t>
        </is>
      </c>
      <c r="B23" s="33" t="inlineStr">
        <is>
          <t>public/data/panorama.json</t>
        </is>
      </c>
      <c r="C23" s="33" t="inlineStr">
        <is>
          <t>kpis.noticias_monitoreadas</t>
        </is>
      </c>
      <c r="D23" s="33" t="inlineStr">
        <is>
          <t>(titulares)</t>
        </is>
      </c>
      <c r="E23" s="33" t="inlineStr">
        <is>
          <t>Titulares guardados en la escucha social.</t>
        </is>
      </c>
      <c r="F23" s="33" t="inlineStr">
        <is>
          <t>Entero</t>
        </is>
      </c>
      <c r="G23" s="33" t="inlineStr">
        <is>
          <t>titulares</t>
        </is>
      </c>
      <c r="H23" s="33" t="inlineStr">
        <is>
          <t>32</t>
        </is>
      </c>
      <c r="I23" s="33" t="inlineStr">
        <is>
          <t>No</t>
        </is>
      </c>
      <c r="J23" s="33" t="inlineStr">
        <is>
          <t>32 a 32</t>
        </is>
      </c>
      <c r="K23" s="33" t="inlineStr">
        <is>
          <t>Pública</t>
        </is>
      </c>
      <c r="L23" s="33" t="inlineStr">
        <is>
          <t>Conteo.</t>
        </is>
      </c>
      <c r="M23" s="33" t="inlineStr">
        <is>
          <t>¿Cuánto se habló de la ciudad?</t>
        </is>
      </c>
    </row>
    <row r="24" ht="15.75" customHeight="1" s="24">
      <c r="A24" s="33" t="inlineStr">
        <is>
          <t>F10</t>
        </is>
      </c>
      <c r="B24" s="33" t="inlineStr">
        <is>
          <t>public/data/panorama.json</t>
        </is>
      </c>
      <c r="C24" s="33" t="inlineStr">
        <is>
          <t>indicadores_recientes[].indicador</t>
        </is>
      </c>
      <c r="D24" s="33" t="inlineStr">
        <is>
          <t>(rotulado al capturar)</t>
        </is>
      </c>
      <c r="E24" s="33" t="inlineStr">
        <is>
          <t>Nombre del indicador puntual reciente.</t>
        </is>
      </c>
      <c r="F24" s="33" t="inlineStr">
        <is>
          <t>Texto</t>
        </is>
      </c>
      <c r="G24" s="33" t="inlineStr">
        <is>
          <t>—</t>
        </is>
      </c>
      <c r="H24" s="33" t="inlineStr">
        <is>
          <t>delitos_totales</t>
        </is>
      </c>
      <c r="I24" s="33" t="inlineStr">
        <is>
          <t>No</t>
        </is>
      </c>
      <c r="J24" s="33" t="inlineStr">
        <is>
          <t>delitos_totales; delitos_violentos; tasa_esclarecimiento_delitos; tasa_esclarecimiento_delitos_violentos</t>
        </is>
      </c>
      <c r="K24" s="33" t="inlineStr">
        <is>
          <t>Pública</t>
        </is>
      </c>
      <c r="L24" s="33" t="inlineStr">
        <is>
          <t>Nombre normalizado en español y snake_case.</t>
        </is>
      </c>
      <c r="M24" s="33" t="inlineStr">
        <is>
          <t>¿Cuál es el último dato de desempleo y delitos? (Wiki 4.1, 4.2)</t>
        </is>
      </c>
    </row>
    <row r="25" ht="15.75" customHeight="1" s="24">
      <c r="A25" s="33" t="inlineStr">
        <is>
          <t>F10</t>
        </is>
      </c>
      <c r="B25" s="33" t="inlineStr">
        <is>
          <t>public/data/panorama.json</t>
        </is>
      </c>
      <c r="C25" s="33" t="inlineStr">
        <is>
          <t>indicadores_recientes[].periodo</t>
        </is>
      </c>
      <c r="D25" s="33" t="inlineStr">
        <is>
          <t>Year/Month o periodo publicado</t>
        </is>
      </c>
      <c r="E25" s="33" t="inlineStr">
        <is>
          <t>Periodo al que corresponde el valor (año, mes o ventana móvil).</t>
        </is>
      </c>
      <c r="F25" s="33" t="inlineStr">
        <is>
          <t>Texto</t>
        </is>
      </c>
      <c r="G25" s="33" t="inlineStr">
        <is>
          <t>—</t>
        </is>
      </c>
      <c r="H25" s="33" t="inlineStr">
        <is>
          <t>2025</t>
        </is>
      </c>
      <c r="I25" s="33" t="inlineStr">
        <is>
          <t>No</t>
        </is>
      </c>
      <c r="J25" s="33" t="inlineStr">
        <is>
          <t>2024; 2025</t>
        </is>
      </c>
      <c r="K25" s="33" t="inlineStr">
        <is>
          <t>Pública</t>
        </is>
      </c>
      <c r="L25" s="33" t="inlineStr">
        <is>
          <t>En delitos: año y mes en inglés convertidos a AAAA-MM.</t>
        </is>
      </c>
      <c r="M25" s="33" t="inlineStr">
        <is>
          <t>¿A qué fecha corresponde el dato?</t>
        </is>
      </c>
    </row>
    <row r="26" ht="15.75" customHeight="1" s="24">
      <c r="A26" s="33" t="inlineStr">
        <is>
          <t>F10</t>
        </is>
      </c>
      <c r="B26" s="33" t="inlineStr">
        <is>
          <t>public/data/panorama.json</t>
        </is>
      </c>
      <c r="C26" s="33" t="inlineStr">
        <is>
          <t>indicadores_recientes[].valor</t>
        </is>
      </c>
      <c r="D26" s="33" t="inlineStr">
        <is>
          <t>(valor publicado)</t>
        </is>
      </c>
      <c r="E26" s="33" t="inlineStr">
        <is>
          <t>Valor numérico del indicador.</t>
        </is>
      </c>
      <c r="F26" s="33" t="inlineStr">
        <is>
          <t>Decimal</t>
        </is>
      </c>
      <c r="G26" s="33" t="inlineStr">
        <is>
          <t>según columna unidad</t>
        </is>
      </c>
      <c r="H26" s="33" t="inlineStr">
        <is>
          <t>89137.0</t>
        </is>
      </c>
      <c r="I26" s="33" t="inlineStr">
        <is>
          <t>No</t>
        </is>
      </c>
      <c r="J26" s="33" t="inlineStr">
        <is>
          <t>30,3 a 9,475e+04</t>
        </is>
      </c>
      <c r="K26" s="33" t="inlineStr">
        <is>
          <t>Pública</t>
        </is>
      </c>
      <c r="L26" s="33" t="inlineStr">
        <is>
          <t>Copiado tal cual.</t>
        </is>
      </c>
      <c r="M26" s="33" t="inlineStr">
        <is>
          <t>¿Cuál es el valor del indicador?</t>
        </is>
      </c>
    </row>
    <row r="27" ht="15.75" customHeight="1" s="24">
      <c r="A27" s="33" t="inlineStr">
        <is>
          <t>F10</t>
        </is>
      </c>
      <c r="B27" s="33" t="inlineStr">
        <is>
          <t>public/data/panorama.json</t>
        </is>
      </c>
      <c r="C27" s="33" t="inlineStr">
        <is>
          <t>indicadores_recientes[].unidad</t>
        </is>
      </c>
      <c r="D27" s="33" t="inlineStr">
        <is>
          <t>(rotulado)</t>
        </is>
      </c>
      <c r="E27" s="33" t="inlineStr">
        <is>
          <t>Unidad del valor del indicador.</t>
        </is>
      </c>
      <c r="F27" s="33" t="inlineStr">
        <is>
          <t>Texto</t>
        </is>
      </c>
      <c r="G27" s="33" t="inlineStr">
        <is>
          <t>—</t>
        </is>
      </c>
      <c r="H27" s="33" t="inlineStr">
        <is>
          <t>casos</t>
        </is>
      </c>
      <c r="I27" s="33" t="inlineStr">
        <is>
          <t>No</t>
        </is>
      </c>
      <c r="J27" s="33" t="inlineStr">
        <is>
          <t>%; casos</t>
        </is>
      </c>
      <c r="K27" s="33" t="inlineStr">
        <is>
          <t>Pública</t>
        </is>
      </c>
      <c r="L27" s="33" t="inlineStr">
        <is>
          <t>Escrito al capturar.</t>
        </is>
      </c>
      <c r="M27" s="33" t="inlineStr">
        <is>
          <t>¿En qué unidad está el valor?</t>
        </is>
      </c>
    </row>
    <row r="28" ht="15.75" customHeight="1" s="24">
      <c r="A28" s="33" t="inlineStr">
        <is>
          <t>F10</t>
        </is>
      </c>
      <c r="B28" s="33" t="inlineStr">
        <is>
          <t>public/data/panorama.json</t>
        </is>
      </c>
      <c r="C28" s="33" t="inlineStr">
        <is>
          <t>indicadores_recientes[].fuente</t>
        </is>
      </c>
      <c r="D28" s="33" t="inlineStr">
        <is>
          <t>(rotulado / dominio de la URL)</t>
        </is>
      </c>
      <c r="E28" s="33" t="inlineStr">
        <is>
          <t>Organismo o medio de origen del dato.</t>
        </is>
      </c>
      <c r="F28" s="33" t="inlineStr">
        <is>
          <t>Texto</t>
        </is>
      </c>
      <c r="G28" s="33" t="inlineStr">
        <is>
          <t>—</t>
        </is>
      </c>
      <c r="H28" s="33" t="inlineStr">
        <is>
          <t>Hong Kong Police Force - Police in Figures 2025</t>
        </is>
      </c>
      <c r="I28" s="33" t="inlineStr">
        <is>
          <t>No</t>
        </is>
      </c>
      <c r="J28" s="33" t="inlineStr">
        <is>
          <t>Hong Kong Police Force - Police in Figures 2025</t>
        </is>
      </c>
      <c r="K28" s="33" t="inlineStr">
        <is>
          <t>Pública</t>
        </is>
      </c>
      <c r="L28" s="33" t="inlineStr">
        <is>
          <t>En noticias se extrae el dominio de la URL con expresión regular.</t>
        </is>
      </c>
      <c r="M28" s="33" t="inlineStr">
        <is>
          <t>¿De dónde viene este dato y qué tan confiable es?</t>
        </is>
      </c>
    </row>
    <row r="29" ht="15.75" customHeight="1" s="24">
      <c r="A29" s="33" t="inlineStr">
        <is>
          <t>F10</t>
        </is>
      </c>
      <c r="B29" s="33" t="inlineStr">
        <is>
          <t>public/data/panorama.json</t>
        </is>
      </c>
      <c r="C29" s="33" t="inlineStr">
        <is>
          <t>indicadores_recientes[].url</t>
        </is>
      </c>
      <c r="D29" s="33" t="inlineStr">
        <is>
          <t>link / url</t>
        </is>
      </c>
      <c r="E29" s="33" t="inlineStr">
        <is>
          <t>Enlace a la fuente original.</t>
        </is>
      </c>
      <c r="F29" s="33" t="inlineStr">
        <is>
          <t>Texto</t>
        </is>
      </c>
      <c r="G29" s="33" t="inlineStr">
        <is>
          <t>URL</t>
        </is>
      </c>
      <c r="H29" s="33" t="inlineStr">
        <is>
          <t>https://www.police.gov.hk/info/doc/police_in_figure/2025/2025_en.html</t>
        </is>
      </c>
      <c r="I29" s="33" t="inlineStr">
        <is>
          <t>No</t>
        </is>
      </c>
      <c r="J29" s="33" t="inlineStr">
        <is>
          <t>https://www.police.gov.hk/info/doc/police_in_figure/2025/2025_en.html</t>
        </is>
      </c>
      <c r="K29" s="33" t="inlineStr">
        <is>
          <t>Pública</t>
        </is>
      </c>
      <c r="L29" s="33" t="inlineStr">
        <is>
          <t>Copiado tal cual.</t>
        </is>
      </c>
      <c r="M29" s="33" t="inlineStr">
        <is>
          <t>¿Dónde verificar el dato?</t>
        </is>
      </c>
    </row>
    <row r="30" ht="15.75" customHeight="1" s="24">
      <c r="A30" s="33" t="inlineStr">
        <is>
          <t>F10</t>
        </is>
      </c>
      <c r="B30" s="33" t="inlineStr">
        <is>
          <t>public/data/panorama.json</t>
        </is>
      </c>
      <c r="C30" s="33" t="inlineStr">
        <is>
          <t>indicadores_recientes[].fuente_id</t>
        </is>
      </c>
      <c r="D30" s="33" t="inlineStr">
        <is>
          <t>(pipeline)</t>
        </is>
      </c>
      <c r="E30" s="33" t="inlineStr">
        <is>
          <t>ID F0x de la fuente de la fila en el catálogo único.</t>
        </is>
      </c>
      <c r="F30" s="33" t="inlineStr">
        <is>
          <t>Texto</t>
        </is>
      </c>
      <c r="G30" s="33" t="inlineStr">
        <is>
          <t>—</t>
        </is>
      </c>
      <c r="H30" s="33" t="inlineStr">
        <is>
          <t>F10</t>
        </is>
      </c>
      <c r="I30" s="33" t="inlineStr">
        <is>
          <t>No</t>
        </is>
      </c>
      <c r="J30" s="33" t="inlineStr">
        <is>
          <t>F10</t>
        </is>
      </c>
      <c r="K30" s="33" t="inlineStr">
        <is>
          <t>Pública</t>
        </is>
      </c>
      <c r="L30" s="33" t="inlineStr">
        <is>
          <t>Asignado por catalogo_unico.py.</t>
        </is>
      </c>
      <c r="M30" s="33" t="inlineStr">
        <is>
          <t>¿Qué fila de Fuentes respalda esto?</t>
        </is>
      </c>
    </row>
    <row r="31" ht="15.75" customHeight="1" s="24">
      <c r="A31" s="33" t="inlineStr">
        <is>
          <t>F19</t>
        </is>
      </c>
      <c r="B31" s="33" t="inlineStr">
        <is>
          <t>public/data/panorama.json</t>
        </is>
      </c>
      <c r="C31" s="33" t="inlineStr">
        <is>
          <t>distritos[].codigo</t>
        </is>
      </c>
      <c r="D31" s="33" t="inlineStr">
        <is>
          <t>dc_class / 1ª letra de CACODE</t>
        </is>
      </c>
      <c r="E31" s="33" t="inlineStr">
        <is>
          <t>Código de letra del distrito (A–T) usado por el censo y la EAC.</t>
        </is>
      </c>
      <c r="F31" s="33" t="inlineStr">
        <is>
          <t>Texto</t>
        </is>
      </c>
      <c r="G31" s="33" t="inlineStr">
        <is>
          <t>—</t>
        </is>
      </c>
      <c r="H31" s="33" t="inlineStr">
        <is>
          <t>A</t>
        </is>
      </c>
      <c r="I31" s="33" t="inlineStr">
        <is>
          <t>No</t>
        </is>
      </c>
      <c r="J31" s="33" t="inlineStr">
        <is>
          <t>18 valores distintos</t>
        </is>
      </c>
      <c r="K31" s="33" t="inlineStr">
        <is>
          <t>Pública</t>
        </is>
      </c>
      <c r="L31" s="33" t="inlineStr">
        <is>
          <t>Derivado de la primera letra del código DCCA; se usa como llave de unión entre todas las tablas.</t>
        </is>
      </c>
      <c r="M31" s="33" t="inlineStr">
        <is>
          <t>¿A qué distrito pertenece este registro?</t>
        </is>
      </c>
    </row>
    <row r="32" ht="15.75" customHeight="1" s="24">
      <c r="A32" s="33" t="inlineStr">
        <is>
          <t>F19</t>
        </is>
      </c>
      <c r="B32" s="33" t="inlineStr">
        <is>
          <t>public/data/panorama.json</t>
        </is>
      </c>
      <c r="C32" s="33" t="inlineStr">
        <is>
          <t>distritos[].distrito_es</t>
        </is>
      </c>
      <c r="D32" s="33" t="inlineStr">
        <is>
          <t>(no existe en la fuente)</t>
        </is>
      </c>
      <c r="E32" s="33" t="inlineStr">
        <is>
          <t>Nombre del distrito en español para la interfaz.</t>
        </is>
      </c>
      <c r="F32" s="33" t="inlineStr">
        <is>
          <t>Texto</t>
        </is>
      </c>
      <c r="G32" s="33" t="inlineStr">
        <is>
          <t>—</t>
        </is>
      </c>
      <c r="H32" s="33" t="inlineStr">
        <is>
          <t>Centro y Oeste</t>
        </is>
      </c>
      <c r="I32" s="33" t="inlineStr">
        <is>
          <t>No</t>
        </is>
      </c>
      <c r="J32" s="33" t="inlineStr">
        <is>
          <t>18 valores distintos</t>
        </is>
      </c>
      <c r="K32" s="33" t="inlineStr">
        <is>
          <t>Pública</t>
        </is>
      </c>
      <c r="L32" s="33" t="inlineStr">
        <is>
          <t>Traducción propia del nombre inglés.</t>
        </is>
      </c>
      <c r="M32" s="33" t="inlineStr">
        <is>
          <t>¿Cómo mostrar el distrito al usuario?</t>
        </is>
      </c>
    </row>
    <row r="33" ht="15.75" customHeight="1" s="24">
      <c r="A33" s="33" t="inlineStr">
        <is>
          <t>F19</t>
        </is>
      </c>
      <c r="B33" s="33" t="inlineStr">
        <is>
          <t>public/data/panorama.json</t>
        </is>
      </c>
      <c r="C33" s="33" t="inlineStr">
        <is>
          <t>distritos[].distrito_en</t>
        </is>
      </c>
      <c r="D33" s="33" t="inlineStr">
        <is>
          <t>dc_eng</t>
        </is>
      </c>
      <c r="E33" s="33" t="inlineStr">
        <is>
          <t>Nombre oficial del distrito en inglés.</t>
        </is>
      </c>
      <c r="F33" s="33" t="inlineStr">
        <is>
          <t>Texto</t>
        </is>
      </c>
      <c r="G33" s="33" t="inlineStr">
        <is>
          <t>—</t>
        </is>
      </c>
      <c r="H33" s="33" t="inlineStr">
        <is>
          <t>Central and Western</t>
        </is>
      </c>
      <c r="I33" s="33" t="inlineStr">
        <is>
          <t>No</t>
        </is>
      </c>
      <c r="J33" s="33" t="inlineStr">
        <is>
          <t>18 valores distintos</t>
        </is>
      </c>
      <c r="K33" s="33" t="inlineStr">
        <is>
          <t>Pública</t>
        </is>
      </c>
      <c r="L33" s="33" t="inlineStr">
        <is>
          <t>Estandarizado contra la tabla maestra de 18 distritos.</t>
        </is>
      </c>
      <c r="M33" s="33" t="inlineStr">
        <is>
          <t>¿Cómo se llama el distrito?</t>
        </is>
      </c>
    </row>
    <row r="34" ht="15.75" customHeight="1" s="24">
      <c r="A34" s="33" t="inlineStr">
        <is>
          <t>F22</t>
        </is>
      </c>
      <c r="B34" s="33" t="inlineStr">
        <is>
          <t>public/data/panorama.json</t>
        </is>
      </c>
      <c r="C34" s="33" t="inlineStr">
        <is>
          <t>distritos[].distrito_zh</t>
        </is>
      </c>
      <c r="D34" s="33" t="inlineStr">
        <is>
          <t>District (中文)</t>
        </is>
      </c>
      <c r="E34" s="33" t="inlineStr">
        <is>
          <t>Nombre del distrito en chino tradicional.</t>
        </is>
      </c>
      <c r="F34" s="33" t="inlineStr">
        <is>
          <t>Texto</t>
        </is>
      </c>
      <c r="G34" s="33" t="inlineStr">
        <is>
          <t>—</t>
        </is>
      </c>
      <c r="H34" s="33" t="inlineStr">
        <is>
          <t>中西區</t>
        </is>
      </c>
      <c r="I34" s="33" t="inlineStr">
        <is>
          <t>No</t>
        </is>
      </c>
      <c r="J34" s="33" t="inlineStr">
        <is>
          <t>18 valores distintos</t>
        </is>
      </c>
      <c r="K34" s="33" t="inlineStr">
        <is>
          <t>Pública</t>
        </is>
      </c>
      <c r="L34" s="33" t="inlineStr">
        <is>
          <t>Copiado de curated/geo/distritos.csv (unión por codigo). Origen: Tomado de la tabla de Wikipedia y unido por nombre inglés.</t>
        </is>
      </c>
      <c r="M34" s="33" t="inlineStr">
        <is>
          <t>¿Cómo se llama el distrito en chino?</t>
        </is>
      </c>
    </row>
    <row r="35" ht="15.75" customHeight="1" s="24">
      <c r="A35" s="33" t="inlineStr">
        <is>
          <t>F19</t>
        </is>
      </c>
      <c r="B35" s="33" t="inlineStr">
        <is>
          <t>public/data/panorama.json</t>
        </is>
      </c>
      <c r="C35" s="33" t="inlineStr">
        <is>
          <t>distritos[].region</t>
        </is>
      </c>
      <c r="D35" s="33" t="inlineStr">
        <is>
          <t>(no existe en la fuente)</t>
        </is>
      </c>
      <c r="E35" s="33" t="inlineStr">
        <is>
          <t>Gran región a la que pertenece el distrito (Isla de HK, Kowloon o Nuevos Territorios).</t>
        </is>
      </c>
      <c r="F35" s="33" t="inlineStr">
        <is>
          <t>Texto</t>
        </is>
      </c>
      <c r="G35" s="33" t="inlineStr">
        <is>
          <t>—</t>
        </is>
      </c>
      <c r="H35" s="33" t="inlineStr">
        <is>
          <t>Isla de Hong Kong</t>
        </is>
      </c>
      <c r="I35" s="33" t="inlineStr">
        <is>
          <t>No</t>
        </is>
      </c>
      <c r="J35" s="33" t="inlineStr">
        <is>
          <t>Isla de Hong Kong; Kowloon; Nuevos Territorios</t>
        </is>
      </c>
      <c r="K35" s="33" t="inlineStr">
        <is>
          <t>Pública</t>
        </is>
      </c>
      <c r="L35" s="33" t="inlineStr">
        <is>
          <t>Asignada por tabla maestra según la división administrativa oficial; traducida al español.</t>
        </is>
      </c>
      <c r="M35" s="33" t="inlineStr">
        <is>
          <t>¿Cómo se reparte la población entre las tres regiones? (Wiki 1.2)</t>
        </is>
      </c>
    </row>
    <row r="36" ht="15.75" customHeight="1" s="24">
      <c r="A36" s="33" t="inlineStr">
        <is>
          <t>F20</t>
        </is>
      </c>
      <c r="B36" s="33" t="inlineStr">
        <is>
          <t>public/data/panorama.json</t>
        </is>
      </c>
      <c r="C36" s="33" t="inlineStr">
        <is>
          <t>distritos[].poblacion_2021</t>
        </is>
      </c>
      <c r="D36" s="33" t="inlineStr">
        <is>
          <t>t_pop</t>
        </is>
      </c>
      <c r="E36" s="33" t="inlineStr">
        <is>
          <t>Población residente total del distrito en el Censo 2021.</t>
        </is>
      </c>
      <c r="F36" s="33" t="inlineStr">
        <is>
          <t>Entero</t>
        </is>
      </c>
      <c r="G36" s="33" t="inlineStr">
        <is>
          <t>personas</t>
        </is>
      </c>
      <c r="H36" s="33" t="inlineStr">
        <is>
          <t>235953</t>
        </is>
      </c>
      <c r="I36" s="33" t="inlineStr">
        <is>
          <t>No</t>
        </is>
      </c>
      <c r="J36" s="33" t="inlineStr">
        <is>
          <t>166.695 a 692.806</t>
        </is>
      </c>
      <c r="K36" s="33" t="inlineStr">
        <is>
          <t>Pública</t>
        </is>
      </c>
      <c r="L36" s="33" t="inlineStr">
        <is>
          <t>Copiado de curated/demografia/distritos_censo2021.csv (unión por codigo). Origen: Renombrado; descarga vía WFS CSDI.</t>
        </is>
      </c>
      <c r="M36" s="33" t="inlineStr">
        <is>
          <t>¿Cuánta gente vive en cada distrito? (Wiki 1)</t>
        </is>
      </c>
    </row>
    <row r="37" ht="15.75" customHeight="1" s="24">
      <c r="A37" s="33" t="inlineStr">
        <is>
          <t>F20, F22</t>
        </is>
      </c>
      <c r="B37" s="33" t="inlineStr">
        <is>
          <t>public/data/panorama.json</t>
        </is>
      </c>
      <c r="C37" s="33" t="inlineStr">
        <is>
          <t>distritos[].densidad_hab_km2</t>
        </is>
      </c>
      <c r="D37" s="33" t="inlineStr">
        <is>
          <t>(calculado)</t>
        </is>
      </c>
      <c r="E37" s="33" t="inlineStr">
        <is>
          <t>Habitantes por kilómetro cuadrado de tierra.</t>
        </is>
      </c>
      <c r="F37" s="33" t="inlineStr">
        <is>
          <t>Decimal</t>
        </is>
      </c>
      <c r="G37" s="33" t="inlineStr">
        <is>
          <t>hab/km²</t>
        </is>
      </c>
      <c r="H37" s="33" t="inlineStr">
        <is>
          <t>18801.0</t>
        </is>
      </c>
      <c r="I37" s="33" t="inlineStr">
        <is>
          <t>No</t>
        </is>
      </c>
      <c r="J37" s="33" t="inlineStr">
        <is>
          <t>1.014 a 5,968e+04</t>
        </is>
      </c>
      <c r="K37" s="33" t="inlineStr">
        <is>
          <t>Pública</t>
        </is>
      </c>
      <c r="L37" s="33" t="inlineStr">
        <is>
          <t>Copiado de curated/demografia/distritos_censo2021.csv (unión por codigo). Origen: poblacion_2021 / area_km2_oficial, redondeado a entero.</t>
        </is>
      </c>
      <c r="M37" s="33" t="inlineStr">
        <is>
          <t>¿Qué tan denso es cada distrito? (Wiki 1.2)</t>
        </is>
      </c>
    </row>
    <row r="38" ht="15.75" customHeight="1" s="24">
      <c r="A38" s="33" t="inlineStr">
        <is>
          <t>F21</t>
        </is>
      </c>
      <c r="B38" s="33" t="inlineStr">
        <is>
          <t>public/data/panorama.json</t>
        </is>
      </c>
      <c r="C38" s="33" t="inlineStr">
        <is>
          <t>distritos[].ingreso_mediano_hogar_hkd_2025</t>
        </is>
      </c>
      <c r="D38" s="33" t="inlineStr">
        <is>
          <t>ma_hh (year=2025)</t>
        </is>
      </c>
      <c r="E38" s="33" t="inlineStr">
        <is>
          <t>Ingreso mensual mediano de los hogares domésticos en 2025.</t>
        </is>
      </c>
      <c r="F38" s="33" t="inlineStr">
        <is>
          <t>Entero</t>
        </is>
      </c>
      <c r="G38" s="33" t="inlineStr">
        <is>
          <t>HK$ por mes</t>
        </is>
      </c>
      <c r="H38" s="33" t="inlineStr">
        <is>
          <t>45000</t>
        </is>
      </c>
      <c r="I38" s="33" t="inlineStr">
        <is>
          <t>No</t>
        </is>
      </c>
      <c r="J38" s="33" t="inlineStr">
        <is>
          <t>24.900 a 45.000</t>
        </is>
      </c>
      <c r="K38" s="33" t="inlineStr">
        <is>
          <t>Pública</t>
        </is>
      </c>
      <c r="L38" s="33" t="inlineStr">
        <is>
          <t>Copiado de curated/economia/distritos_economia.csv (unión por codigo). Origen: Filtrado al último año del panel GHS.</t>
        </is>
      </c>
      <c r="M38" s="33" t="inlineStr">
        <is>
          <t>¿Qué distritos tienen menor ingreso hoy? (Wiki 1.7)</t>
        </is>
      </c>
    </row>
    <row r="39" ht="15.75" customHeight="1" s="24">
      <c r="A39" s="33" t="inlineStr">
        <is>
          <t>F20</t>
        </is>
      </c>
      <c r="B39" s="33" t="inlineStr">
        <is>
          <t>public/data/panorama.json</t>
        </is>
      </c>
      <c r="C39" s="33" t="inlineStr">
        <is>
          <t>distritos[].pct_65_mas</t>
        </is>
      </c>
      <c r="D39" s="33" t="inlineStr">
        <is>
          <t>(calculado)</t>
        </is>
      </c>
      <c r="E39" s="33" t="inlineStr">
        <is>
          <t>Porcentaje de la población con 65 años o más.</t>
        </is>
      </c>
      <c r="F39" s="33" t="inlineStr">
        <is>
          <t>Decimal</t>
        </is>
      </c>
      <c r="G39" s="33" t="inlineStr">
        <is>
          <t>%</t>
        </is>
      </c>
      <c r="H39" s="33" t="inlineStr">
        <is>
          <t>19.28</t>
        </is>
      </c>
      <c r="I39" s="33" t="inlineStr">
        <is>
          <t>No</t>
        </is>
      </c>
      <c r="J39" s="33" t="inlineStr">
        <is>
          <t>14,73 a 23,36</t>
        </is>
      </c>
      <c r="K39" s="33" t="inlineStr">
        <is>
          <t>Pública</t>
        </is>
      </c>
      <c r="L39" s="33" t="inlineStr">
        <is>
          <t>Copiado de curated/demografia/distritos_censo2021.csv (unión por codigo). Origen: 100 × age_5 / t_pop, 2 decimales.</t>
        </is>
      </c>
      <c r="M39" s="33" t="inlineStr">
        <is>
          <t>¿Qué distritos están más envejecidos? (Wiki 1.3)</t>
        </is>
      </c>
    </row>
    <row r="40" ht="15.75" customHeight="1" s="24">
      <c r="A40" s="33" t="inlineStr">
        <is>
          <t>F20, F21, F22, F23, F24, F25, F27, F28, F30, F32, F10</t>
        </is>
      </c>
      <c r="B40" s="33" t="inlineStr">
        <is>
          <t>public/data/panorama.json</t>
        </is>
      </c>
      <c r="C40" s="33" t="inlineStr">
        <is>
          <t>distritos[].tipologia</t>
        </is>
      </c>
      <c r="D40" s="33" t="inlineStr">
        <is>
          <t>(calculado)</t>
        </is>
      </c>
      <c r="E40" s="33" t="inlineStr">
        <is>
          <t>Nombre descriptivo del tipo de zona.</t>
        </is>
      </c>
      <c r="F40" s="33" t="inlineStr">
        <is>
          <t>Texto</t>
        </is>
      </c>
      <c r="G40" s="33" t="inlineStr">
        <is>
          <t>—</t>
        </is>
      </c>
      <c r="H40" s="33" t="inlineStr">
        <is>
          <t>Centro financiero de ingreso alto</t>
        </is>
      </c>
      <c r="I40" s="33" t="inlineStr">
        <is>
          <t>No</t>
        </is>
      </c>
      <c r="J40" s="33" t="inlineStr">
        <is>
          <t>Centro financiero de ingreso alto; Núcleo denso de vivienda pública e ingreso bajo; Núcleo urbano denso de clase media; Suburbano de baja densidad</t>
        </is>
      </c>
      <c r="K40" s="33" t="inlineStr">
        <is>
          <t>Pública</t>
        </is>
      </c>
      <c r="L40" s="33" t="inlineStr">
        <is>
          <t>Nombre asignado según el perfil del centro del grupo (ingreso, vivienda pública, densidad).</t>
        </is>
      </c>
      <c r="M40" s="33" t="inlineStr">
        <is>
          <t>¿Qué tipo de zona es cada distrito?</t>
        </is>
      </c>
    </row>
    <row r="41" ht="15.75" customHeight="1" s="24">
      <c r="A41" s="33" t="inlineStr">
        <is>
          <t>F20, F21, F22, F23, F24, F25, F27, F28, F30, F32, F10</t>
        </is>
      </c>
      <c r="B41" s="33" t="inlineStr">
        <is>
          <t>public/data/panorama.json</t>
        </is>
      </c>
      <c r="C41" s="33" t="inlineStr">
        <is>
          <t>distritos[].indice_prosperidad</t>
        </is>
      </c>
      <c r="D41" s="33" t="inlineStr">
        <is>
          <t>(calculado)</t>
        </is>
      </c>
      <c r="E41" s="33" t="inlineStr">
        <is>
          <t>Índice 0–100 que combina ingreso 2025 (60 %) y % universitario (40 %).</t>
        </is>
      </c>
      <c r="F41" s="33" t="inlineStr">
        <is>
          <t>Decimal</t>
        </is>
      </c>
      <c r="G41" s="33" t="inlineStr">
        <is>
          <t>índice 0–100</t>
        </is>
      </c>
      <c r="H41" s="33" t="inlineStr">
        <is>
          <t>100.0</t>
        </is>
      </c>
      <c r="I41" s="33" t="inlineStr">
        <is>
          <t>No</t>
        </is>
      </c>
      <c r="J41" s="33" t="inlineStr">
        <is>
          <t>0 a 100</t>
        </is>
      </c>
      <c r="K41" s="33" t="inlineStr">
        <is>
          <t>Pública</t>
        </is>
      </c>
      <c r="L41" s="33" t="inlineStr">
        <is>
          <t>Combinación ponderada normalizada y reescalada min-max entre los 18 distritos.</t>
        </is>
      </c>
      <c r="M41" s="33" t="inlineStr">
        <is>
          <t>¿Qué distritos son más prósperos? (Wiki 1.6, 1.7)</t>
        </is>
      </c>
    </row>
    <row r="42" ht="15.75" customHeight="1" s="24">
      <c r="A42" s="33" t="inlineStr">
        <is>
          <t>F20, F21, F22, F23, F24, F25, F27, F28, F30, F32, F10</t>
        </is>
      </c>
      <c r="B42" s="33" t="inlineStr">
        <is>
          <t>public/data/panorama.json</t>
        </is>
      </c>
      <c r="C42" s="33" t="inlineStr">
        <is>
          <t>distritos[].indice_conectividad</t>
        </is>
      </c>
      <c r="D42" s="33" t="inlineStr">
        <is>
          <t>(calculado)</t>
        </is>
      </c>
      <c r="E42" s="33" t="inlineStr">
        <is>
          <t>Índice 0–100 que combina paradas por habitante y cercanía a urgencias.</t>
        </is>
      </c>
      <c r="F42" s="33" t="inlineStr">
        <is>
          <t>Decimal</t>
        </is>
      </c>
      <c r="G42" s="33" t="inlineStr">
        <is>
          <t>índice 0–100</t>
        </is>
      </c>
      <c r="H42" s="33" t="inlineStr">
        <is>
          <t>54.9</t>
        </is>
      </c>
      <c r="I42" s="33" t="inlineStr">
        <is>
          <t>No</t>
        </is>
      </c>
      <c r="J42" s="33" t="inlineStr">
        <is>
          <t>0 a 100</t>
        </is>
      </c>
      <c r="K42" s="33" t="inlineStr">
        <is>
          <t>Pública</t>
        </is>
      </c>
      <c r="L42" s="33" t="inlineStr">
        <is>
          <t>Suma normalizada de paradas_por_10k_hab y (1 − distancia a urgencias relativa), reescalada min-max.</t>
        </is>
      </c>
      <c r="M42" s="33" t="inlineStr">
        <is>
          <t>¿Qué distritos están mejor conectados y servidos?</t>
        </is>
      </c>
    </row>
    <row r="43" ht="15.75" customHeight="1" s="24">
      <c r="A43" s="33" t="inlineStr">
        <is>
          <t>F20, F21, F22, F23, F24, F25, F27, F28, F30, F32, F10</t>
        </is>
      </c>
      <c r="B43" s="33" t="inlineStr">
        <is>
          <t>public/data/panorama.json</t>
        </is>
      </c>
      <c r="C43" s="33" t="inlineStr">
        <is>
          <t>distritos[].indice_presion_demografica</t>
        </is>
      </c>
      <c r="D43" s="33" t="inlineStr">
        <is>
          <t>(calculado)</t>
        </is>
      </c>
      <c r="E43" s="33" t="inlineStr">
        <is>
          <t>Índice 0–100 que combina densidad y % de 65+.</t>
        </is>
      </c>
      <c r="F43" s="33" t="inlineStr">
        <is>
          <t>Decimal</t>
        </is>
      </c>
      <c r="G43" s="33" t="inlineStr">
        <is>
          <t>índice 0–100</t>
        </is>
      </c>
      <c r="H43" s="33" t="inlineStr">
        <is>
          <t>38.1</t>
        </is>
      </c>
      <c r="I43" s="33" t="inlineStr">
        <is>
          <t>No</t>
        </is>
      </c>
      <c r="J43" s="33" t="inlineStr">
        <is>
          <t>0 a 100</t>
        </is>
      </c>
      <c r="K43" s="33" t="inlineStr">
        <is>
          <t>Pública</t>
        </is>
      </c>
      <c r="L43" s="33" t="inlineStr">
        <is>
          <t>Suma normalizada de densidad y pct_65_mas, reescalada min-max.</t>
        </is>
      </c>
      <c r="M43" s="33" t="inlineStr">
        <is>
          <t>¿Dónde hay más presión sobre servicios por densidad y envejecimiento? (Wiki 1.2, 1.3)</t>
        </is>
      </c>
    </row>
    <row r="44" ht="15.75" customHeight="1" s="24">
      <c r="A44" s="33" t="inlineStr">
        <is>
          <t>F19</t>
        </is>
      </c>
      <c r="B44" s="33" t="inlineStr">
        <is>
          <t>public/data/panorama.json</t>
        </is>
      </c>
      <c r="C44" s="33" t="inlineStr">
        <is>
          <t>distritos[].centro_lat</t>
        </is>
      </c>
      <c r="D44" s="33" t="inlineStr">
        <is>
          <t>(calculado)</t>
        </is>
      </c>
      <c r="E44" s="33" t="inlineStr">
        <is>
          <t>Latitud de un punto representativo interior del distrito (para etiquetas en el mapa).</t>
        </is>
      </c>
      <c r="F44" s="33" t="inlineStr">
        <is>
          <t>Decimal</t>
        </is>
      </c>
      <c r="G44" s="33" t="inlineStr">
        <is>
          <t>grados decimales (WGS84)</t>
        </is>
      </c>
      <c r="H44" s="33" t="inlineStr">
        <is>
          <t>22.274851</t>
        </is>
      </c>
      <c r="I44" s="33" t="inlineStr">
        <is>
          <t>No</t>
        </is>
      </c>
      <c r="J44" s="33" t="inlineStr">
        <is>
          <t>22,23 a 22,52</t>
        </is>
      </c>
      <c r="K44" s="33" t="inlineStr">
        <is>
          <t>Pública</t>
        </is>
      </c>
      <c r="L44" s="33" t="inlineStr">
        <is>
          <t>Copiado de curated/geo/distritos.csv (unión por codigo). Origen: representative_point() del polígono disuelto, reproyectado a WGS84.</t>
        </is>
      </c>
      <c r="M44" s="33" t="inlineStr">
        <is>
          <t>¿Dónde ubicar la etiqueta del distrito en el mapa?</t>
        </is>
      </c>
    </row>
    <row r="45" ht="15.75" customHeight="1" s="24">
      <c r="A45" s="33" t="inlineStr">
        <is>
          <t>F19</t>
        </is>
      </c>
      <c r="B45" s="33" t="inlineStr">
        <is>
          <t>public/data/panorama.json</t>
        </is>
      </c>
      <c r="C45" s="33" t="inlineStr">
        <is>
          <t>distritos[].centro_lon</t>
        </is>
      </c>
      <c r="D45" s="33" t="inlineStr">
        <is>
          <t>(calculado)</t>
        </is>
      </c>
      <c r="E45" s="33" t="inlineStr">
        <is>
          <t>Longitud de un punto representativo interior del distrito.</t>
        </is>
      </c>
      <c r="F45" s="33" t="inlineStr">
        <is>
          <t>Decimal</t>
        </is>
      </c>
      <c r="G45" s="33" t="inlineStr">
        <is>
          <t>grados decimales (WGS84)</t>
        </is>
      </c>
      <c r="H45" s="33" t="inlineStr">
        <is>
          <t>114.148691</t>
        </is>
      </c>
      <c r="I45" s="33" t="inlineStr">
        <is>
          <t>No</t>
        </is>
      </c>
      <c r="J45" s="33" t="inlineStr">
        <is>
          <t>113,9 a 114,4</t>
        </is>
      </c>
      <c r="K45" s="33" t="inlineStr">
        <is>
          <t>Pública</t>
        </is>
      </c>
      <c r="L45" s="33" t="inlineStr">
        <is>
          <t>Copiado de curated/geo/distritos.csv (unión por codigo). Origen: representative_point() del polígono disuelto, reproyectado a WGS84.</t>
        </is>
      </c>
      <c r="M45" s="33" t="inlineStr">
        <is>
          <t>¿Dónde ubicar la etiqueta del distrito en el mapa?</t>
        </is>
      </c>
    </row>
    <row r="46" ht="15.75" customHeight="1" s="24">
      <c r="A46" s="33" t="inlineStr">
        <is>
          <t>F20</t>
        </is>
      </c>
      <c r="B46" s="33" t="inlineStr">
        <is>
          <t>public/data/panorama.json</t>
        </is>
      </c>
      <c r="C46" s="33" t="inlineStr">
        <is>
          <t>destacados.mas_poblado</t>
        </is>
      </c>
      <c r="D46" s="33" t="inlineStr">
        <is>
          <t>(calculado)</t>
        </is>
      </c>
      <c r="E46" s="33" t="inlineStr">
        <is>
          <t>Distrito con más población en 2021.</t>
        </is>
      </c>
      <c r="F46" s="33" t="inlineStr">
        <is>
          <t>Texto</t>
        </is>
      </c>
      <c r="G46" s="33" t="inlineStr">
        <is>
          <t>—</t>
        </is>
      </c>
      <c r="H46" s="33" t="inlineStr">
        <is>
          <t>Sha Tin</t>
        </is>
      </c>
      <c r="I46" s="33" t="inlineStr">
        <is>
          <t>No</t>
        </is>
      </c>
      <c r="J46" s="33" t="inlineStr">
        <is>
          <t>Sha Tin</t>
        </is>
      </c>
      <c r="K46" s="33" t="inlineStr">
        <is>
          <t>Pública</t>
        </is>
      </c>
      <c r="L46" s="33" t="inlineStr">
        <is>
          <t>idxmax/idxmin sobre los 18 distritos.</t>
        </is>
      </c>
      <c r="M46" s="33" t="inlineStr">
        <is>
          <t>¿Qué distrito destaca y en qué?</t>
        </is>
      </c>
    </row>
    <row r="47" ht="15.75" customHeight="1" s="24">
      <c r="A47" s="33" t="inlineStr">
        <is>
          <t>F20, F22</t>
        </is>
      </c>
      <c r="B47" s="33" t="inlineStr">
        <is>
          <t>public/data/panorama.json</t>
        </is>
      </c>
      <c r="C47" s="33" t="inlineStr">
        <is>
          <t>destacados.mas_denso</t>
        </is>
      </c>
      <c r="D47" s="33" t="inlineStr">
        <is>
          <t>(calculado)</t>
        </is>
      </c>
      <c r="E47" s="33" t="inlineStr">
        <is>
          <t>Distrito con mayor densidad.</t>
        </is>
      </c>
      <c r="F47" s="33" t="inlineStr">
        <is>
          <t>Texto</t>
        </is>
      </c>
      <c r="G47" s="33" t="inlineStr">
        <is>
          <t>—</t>
        </is>
      </c>
      <c r="H47" s="33" t="inlineStr">
        <is>
          <t>Kwun Tong</t>
        </is>
      </c>
      <c r="I47" s="33" t="inlineStr">
        <is>
          <t>No</t>
        </is>
      </c>
      <c r="J47" s="33" t="inlineStr">
        <is>
          <t>Kwun Tong</t>
        </is>
      </c>
      <c r="K47" s="33" t="inlineStr">
        <is>
          <t>Pública</t>
        </is>
      </c>
      <c r="L47" s="33" t="inlineStr">
        <is>
          <t>idxmax/idxmin sobre los 18 distritos.</t>
        </is>
      </c>
      <c r="M47" s="33" t="inlineStr">
        <is>
          <t>¿Qué distrito destaca y en qué?</t>
        </is>
      </c>
    </row>
    <row r="48" ht="15.75" customHeight="1" s="24">
      <c r="A48" s="33" t="inlineStr">
        <is>
          <t>F21</t>
        </is>
      </c>
      <c r="B48" s="33" t="inlineStr">
        <is>
          <t>public/data/panorama.json</t>
        </is>
      </c>
      <c r="C48" s="33" t="inlineStr">
        <is>
          <t>destacados.mayor_ingreso</t>
        </is>
      </c>
      <c r="D48" s="33" t="inlineStr">
        <is>
          <t>(calculado)</t>
        </is>
      </c>
      <c r="E48" s="33" t="inlineStr">
        <is>
          <t>Distrito con mayor ingreso mediano del hogar en 2025.</t>
        </is>
      </c>
      <c r="F48" s="33" t="inlineStr">
        <is>
          <t>Texto</t>
        </is>
      </c>
      <c r="G48" s="33" t="inlineStr">
        <is>
          <t>—</t>
        </is>
      </c>
      <c r="H48" s="33" t="inlineStr">
        <is>
          <t>Centro y Oeste</t>
        </is>
      </c>
      <c r="I48" s="33" t="inlineStr">
        <is>
          <t>No</t>
        </is>
      </c>
      <c r="J48" s="33" t="inlineStr">
        <is>
          <t>Centro y Oeste</t>
        </is>
      </c>
      <c r="K48" s="33" t="inlineStr">
        <is>
          <t>Pública</t>
        </is>
      </c>
      <c r="L48" s="33" t="inlineStr">
        <is>
          <t>idxmax/idxmin sobre los 18 distritos.</t>
        </is>
      </c>
      <c r="M48" s="33" t="inlineStr">
        <is>
          <t>¿Qué distrito destaca y en qué?</t>
        </is>
      </c>
    </row>
    <row r="49" ht="15.75" customHeight="1" s="24">
      <c r="A49" s="33" t="inlineStr">
        <is>
          <t>F21</t>
        </is>
      </c>
      <c r="B49" s="33" t="inlineStr">
        <is>
          <t>public/data/panorama.json</t>
        </is>
      </c>
      <c r="C49" s="33" t="inlineStr">
        <is>
          <t>destacados.menor_ingreso</t>
        </is>
      </c>
      <c r="D49" s="33" t="inlineStr">
        <is>
          <t>(calculado)</t>
        </is>
      </c>
      <c r="E49" s="33" t="inlineStr">
        <is>
          <t>Distrito con menor ingreso mediano del hogar en 2025.</t>
        </is>
      </c>
      <c r="F49" s="33" t="inlineStr">
        <is>
          <t>Texto</t>
        </is>
      </c>
      <c r="G49" s="33" t="inlineStr">
        <is>
          <t>—</t>
        </is>
      </c>
      <c r="H49" s="33" t="inlineStr">
        <is>
          <t>Kwun Tong</t>
        </is>
      </c>
      <c r="I49" s="33" t="inlineStr">
        <is>
          <t>No</t>
        </is>
      </c>
      <c r="J49" s="33" t="inlineStr">
        <is>
          <t>Kwun Tong</t>
        </is>
      </c>
      <c r="K49" s="33" t="inlineStr">
        <is>
          <t>Pública</t>
        </is>
      </c>
      <c r="L49" s="33" t="inlineStr">
        <is>
          <t>idxmax/idxmin sobre los 18 distritos.</t>
        </is>
      </c>
      <c r="M49" s="33" t="inlineStr">
        <is>
          <t>¿Qué distrito destaca y en qué?</t>
        </is>
      </c>
    </row>
    <row r="50" ht="15.75" customHeight="1" s="24">
      <c r="A50" s="33" t="inlineStr">
        <is>
          <t>F20</t>
        </is>
      </c>
      <c r="B50" s="33" t="inlineStr">
        <is>
          <t>public/data/panorama.json</t>
        </is>
      </c>
      <c r="C50" s="33" t="inlineStr">
        <is>
          <t>destacados.mas_envejecido</t>
        </is>
      </c>
      <c r="D50" s="33" t="inlineStr">
        <is>
          <t>(calculado)</t>
        </is>
      </c>
      <c r="E50" s="33" t="inlineStr">
        <is>
          <t>Distrito con mayor % de 65+.</t>
        </is>
      </c>
      <c r="F50" s="33" t="inlineStr">
        <is>
          <t>Texto</t>
        </is>
      </c>
      <c r="G50" s="33" t="inlineStr">
        <is>
          <t>—</t>
        </is>
      </c>
      <c r="H50" s="33" t="inlineStr">
        <is>
          <t>Este</t>
        </is>
      </c>
      <c r="I50" s="33" t="inlineStr">
        <is>
          <t>No</t>
        </is>
      </c>
      <c r="J50" s="33" t="inlineStr">
        <is>
          <t>Este</t>
        </is>
      </c>
      <c r="K50" s="33" t="inlineStr">
        <is>
          <t>Pública</t>
        </is>
      </c>
      <c r="L50" s="33" t="inlineStr">
        <is>
          <t>idxmax/idxmin sobre los 18 distritos.</t>
        </is>
      </c>
      <c r="M50" s="33" t="inlineStr">
        <is>
          <t>¿Qué distrito destaca y en qué?</t>
        </is>
      </c>
    </row>
    <row r="51" ht="15.75" customHeight="1" s="24">
      <c r="A51" s="33" t="inlineStr">
        <is>
          <t>F21</t>
        </is>
      </c>
      <c r="B51" s="33" t="inlineStr">
        <is>
          <t>public/data/panorama.json</t>
        </is>
      </c>
      <c r="C51" s="33" t="inlineStr">
        <is>
          <t>destacados.mayor_crecimiento_poblacion_2016_2025</t>
        </is>
      </c>
      <c r="D51" s="33" t="inlineStr">
        <is>
          <t>(calculado)</t>
        </is>
      </c>
      <c r="E51" s="33" t="inlineStr">
        <is>
          <t>Distrito que más creció en población entre 2016 y 2025.</t>
        </is>
      </c>
      <c r="F51" s="33" t="inlineStr">
        <is>
          <t>Texto</t>
        </is>
      </c>
      <c r="G51" s="33" t="inlineStr">
        <is>
          <t>—</t>
        </is>
      </c>
      <c r="H51" s="33" t="inlineStr">
        <is>
          <t>Islas</t>
        </is>
      </c>
      <c r="I51" s="33" t="inlineStr">
        <is>
          <t>No</t>
        </is>
      </c>
      <c r="J51" s="33" t="inlineStr">
        <is>
          <t>Islas</t>
        </is>
      </c>
      <c r="K51" s="33" t="inlineStr">
        <is>
          <t>Pública</t>
        </is>
      </c>
      <c r="L51" s="33" t="inlineStr">
        <is>
          <t>idxmax/idxmin sobre los 18 distritos.</t>
        </is>
      </c>
      <c r="M51" s="33" t="inlineStr">
        <is>
          <t>¿Qué distrito destaca y en qué?</t>
        </is>
      </c>
    </row>
    <row r="52" ht="15.75" customHeight="1" s="24">
      <c r="A52" s="33" t="inlineStr">
        <is>
          <t>F19, F20, F21, F22, F23, F24, F25, F27, F32</t>
        </is>
      </c>
      <c r="B52" s="33" t="inlineStr">
        <is>
          <t>public/data/atlas_zonas.json</t>
        </is>
      </c>
      <c r="C52" s="33" t="inlineStr">
        <is>
          <t>meta.generado_utc</t>
        </is>
      </c>
      <c r="D52" s="33" t="inlineStr">
        <is>
          <t>(pipeline)</t>
        </is>
      </c>
      <c r="E52" s="33" t="inlineStr">
        <is>
          <t>Momento en que el pipeline generó el archivo.</t>
        </is>
      </c>
      <c r="F52" s="33" t="inlineStr">
        <is>
          <t>Fecha</t>
        </is>
      </c>
      <c r="G52" s="33" t="inlineStr">
        <is>
          <t>fecha-hora UTC</t>
        </is>
      </c>
      <c r="H52" s="33" t="inlineStr">
        <is>
          <t>2026-10-26T12:25:12Z</t>
        </is>
      </c>
      <c r="I52" s="33" t="inlineStr">
        <is>
          <t>No</t>
        </is>
      </c>
      <c r="J52" s="33" t="inlineStr">
        <is>
          <t>2026-10-26T12:25:12Z</t>
        </is>
      </c>
      <c r="K52" s="33" t="inlineStr">
        <is>
          <t>Pública</t>
        </is>
      </c>
      <c r="L52" s="33" t="inlineStr">
        <is>
          <t>datetime.utcnow() al escribir el archivo.</t>
        </is>
      </c>
      <c r="M52" s="33" t="inlineStr">
        <is>
          <t>¿De cuándo son los datos que veo?</t>
        </is>
      </c>
    </row>
    <row r="53" ht="15.75" customHeight="1" s="24">
      <c r="A53" s="33" t="inlineStr">
        <is>
          <t>F19, F20, F21, F22, F23, F24, F25, F27, F32</t>
        </is>
      </c>
      <c r="B53" s="33" t="inlineStr">
        <is>
          <t>public/data/atlas_zonas.json</t>
        </is>
      </c>
      <c r="C53" s="33" t="inlineStr">
        <is>
          <t>meta.ciudad</t>
        </is>
      </c>
      <c r="D53" s="33" t="inlineStr">
        <is>
          <t>(pipeline)</t>
        </is>
      </c>
      <c r="E53" s="33" t="inlineStr">
        <is>
          <t>Ciudad a la que corresponde el archivo.</t>
        </is>
      </c>
      <c r="F53" s="33" t="inlineStr">
        <is>
          <t>Texto</t>
        </is>
      </c>
      <c r="G53" s="33" t="inlineStr">
        <is>
          <t>—</t>
        </is>
      </c>
      <c r="H53" s="33" t="inlineStr">
        <is>
          <t>Hong Kong</t>
        </is>
      </c>
      <c r="I53" s="33" t="inlineStr">
        <is>
          <t>No</t>
        </is>
      </c>
      <c r="J53" s="33" t="inlineStr">
        <is>
          <t>Hong Kong</t>
        </is>
      </c>
      <c r="K53" s="33" t="inlineStr">
        <is>
          <t>Pública</t>
        </is>
      </c>
      <c r="L53" s="33" t="inlineStr">
        <is>
          <t>Constante.</t>
        </is>
      </c>
      <c r="M53" s="33" t="inlineStr">
        <is>
          <t>¿De qué ciudad es el tablero?</t>
        </is>
      </c>
    </row>
    <row r="54" ht="15.75" customHeight="1" s="24">
      <c r="A54" s="33" t="inlineStr">
        <is>
          <t>F19, F20, F21, F22, F23, F24, F25, F27, F32</t>
        </is>
      </c>
      <c r="B54" s="33" t="inlineStr">
        <is>
          <t>public/data/atlas_zonas.json</t>
        </is>
      </c>
      <c r="C54" s="33" t="inlineStr">
        <is>
          <t>meta.unidad_territorial</t>
        </is>
      </c>
      <c r="D54" s="33" t="inlineStr">
        <is>
          <t>(pipeline)</t>
        </is>
      </c>
      <c r="E54" s="33" t="inlineStr">
        <is>
          <t>Unidad territorial de las filas del archivo.</t>
        </is>
      </c>
      <c r="F54" s="33" t="inlineStr">
        <is>
          <t>Texto</t>
        </is>
      </c>
      <c r="G54" s="33" t="inlineStr">
        <is>
          <t>—</t>
        </is>
      </c>
      <c r="H54" s="33" t="inlineStr">
        <is>
          <t>18 distritos (District Council districts)</t>
        </is>
      </c>
      <c r="I54" s="33" t="inlineStr">
        <is>
          <t>No</t>
        </is>
      </c>
      <c r="J54" s="33" t="inlineStr">
        <is>
          <t>18 distritos (District Council districts)</t>
        </is>
      </c>
      <c r="K54" s="33" t="inlineStr">
        <is>
          <t>Pública</t>
        </is>
      </c>
      <c r="L54" s="33" t="inlineStr">
        <is>
          <t>Constante.</t>
        </is>
      </c>
      <c r="M54" s="33" t="inlineStr">
        <is>
          <t>¿A qué escala se lee cada cifra?</t>
        </is>
      </c>
    </row>
    <row r="55" ht="15.75" customHeight="1" s="24">
      <c r="A55" s="33" t="inlineStr">
        <is>
          <t>F19, F20, F21, F22, F23, F24, F25, F27, F32</t>
        </is>
      </c>
      <c r="B55" s="33" t="inlineStr">
        <is>
          <t>public/data/atlas_zonas.json</t>
        </is>
      </c>
      <c r="C55" s="33" t="inlineStr">
        <is>
          <t>meta.catalogo</t>
        </is>
      </c>
      <c r="D55" s="33" t="inlineStr">
        <is>
          <t>(pipeline)</t>
        </is>
      </c>
      <c r="E55" s="33" t="inlineStr">
        <is>
          <t>Ruta al catálogo de fuentes que documenta el archivo.</t>
        </is>
      </c>
      <c r="F55" s="33" t="inlineStr">
        <is>
          <t>Texto</t>
        </is>
      </c>
      <c r="G55" s="33" t="inlineStr">
        <is>
          <t>—</t>
        </is>
      </c>
      <c r="H55" s="33" t="inlineStr">
        <is>
          <t>catalogo/catalogo.json</t>
        </is>
      </c>
      <c r="I55" s="33" t="inlineStr">
        <is>
          <t>No</t>
        </is>
      </c>
      <c r="J55" s="33" t="inlineStr">
        <is>
          <t>catalogo/catalogo.json</t>
        </is>
      </c>
      <c r="K55" s="33" t="inlineStr">
        <is>
          <t>Pública</t>
        </is>
      </c>
      <c r="L55" s="33" t="inlineStr">
        <is>
          <t>Constante.</t>
        </is>
      </c>
      <c r="M55" s="33" t="inlineStr">
        <is>
          <t>¿Dónde está la procedencia?</t>
        </is>
      </c>
    </row>
    <row r="56" ht="15.75" customHeight="1" s="24">
      <c r="A56" s="33" t="inlineStr">
        <is>
          <t>F19</t>
        </is>
      </c>
      <c r="B56" s="33" t="inlineStr">
        <is>
          <t>public/data/atlas_zonas.json</t>
        </is>
      </c>
      <c r="C56" s="33" t="inlineStr">
        <is>
          <t>distritos[].codigo</t>
        </is>
      </c>
      <c r="D56" s="33" t="inlineStr">
        <is>
          <t>dc_class / 1ª letra de CACODE</t>
        </is>
      </c>
      <c r="E56" s="33" t="inlineStr">
        <is>
          <t>Código de letra del distrito (A–T) usado por el censo y la EAC.</t>
        </is>
      </c>
      <c r="F56" s="33" t="inlineStr">
        <is>
          <t>Texto</t>
        </is>
      </c>
      <c r="G56" s="33" t="inlineStr">
        <is>
          <t>—</t>
        </is>
      </c>
      <c r="H56" s="33" t="inlineStr">
        <is>
          <t>A</t>
        </is>
      </c>
      <c r="I56" s="33" t="inlineStr">
        <is>
          <t>No</t>
        </is>
      </c>
      <c r="J56" s="33" t="inlineStr">
        <is>
          <t>18 valores distintos</t>
        </is>
      </c>
      <c r="K56" s="33" t="inlineStr">
        <is>
          <t>Pública</t>
        </is>
      </c>
      <c r="L56" s="33" t="inlineStr">
        <is>
          <t>Derivado de la primera letra del código DCCA; se usa como llave de unión entre todas las tablas.</t>
        </is>
      </c>
      <c r="M56" s="33" t="inlineStr">
        <is>
          <t>¿A qué distrito pertenece este registro?</t>
        </is>
      </c>
    </row>
    <row r="57" ht="15.75" customHeight="1" s="24">
      <c r="A57" s="33" t="inlineStr">
        <is>
          <t>F19</t>
        </is>
      </c>
      <c r="B57" s="33" t="inlineStr">
        <is>
          <t>public/data/atlas_zonas.json</t>
        </is>
      </c>
      <c r="C57" s="33" t="inlineStr">
        <is>
          <t>distritos[].distrito_en</t>
        </is>
      </c>
      <c r="D57" s="33" t="inlineStr">
        <is>
          <t>dc_eng</t>
        </is>
      </c>
      <c r="E57" s="33" t="inlineStr">
        <is>
          <t>Nombre oficial del distrito en inglés.</t>
        </is>
      </c>
      <c r="F57" s="33" t="inlineStr">
        <is>
          <t>Texto</t>
        </is>
      </c>
      <c r="G57" s="33" t="inlineStr">
        <is>
          <t>—</t>
        </is>
      </c>
      <c r="H57" s="33" t="inlineStr">
        <is>
          <t>Central and Western</t>
        </is>
      </c>
      <c r="I57" s="33" t="inlineStr">
        <is>
          <t>No</t>
        </is>
      </c>
      <c r="J57" s="33" t="inlineStr">
        <is>
          <t>18 valores distintos</t>
        </is>
      </c>
      <c r="K57" s="33" t="inlineStr">
        <is>
          <t>Pública</t>
        </is>
      </c>
      <c r="L57" s="33" t="inlineStr">
        <is>
          <t>Estandarizado contra la tabla maestra de 18 distritos.</t>
        </is>
      </c>
      <c r="M57" s="33" t="inlineStr">
        <is>
          <t>¿Cómo se llama el distrito?</t>
        </is>
      </c>
    </row>
    <row r="58" ht="15.75" customHeight="1" s="24">
      <c r="A58" s="33" t="inlineStr">
        <is>
          <t>F22</t>
        </is>
      </c>
      <c r="B58" s="33" t="inlineStr">
        <is>
          <t>public/data/atlas_zonas.json</t>
        </is>
      </c>
      <c r="C58" s="33" t="inlineStr">
        <is>
          <t>distritos[].distrito_zh</t>
        </is>
      </c>
      <c r="D58" s="33" t="inlineStr">
        <is>
          <t>District (中文)</t>
        </is>
      </c>
      <c r="E58" s="33" t="inlineStr">
        <is>
          <t>Nombre del distrito en chino tradicional.</t>
        </is>
      </c>
      <c r="F58" s="33" t="inlineStr">
        <is>
          <t>Texto</t>
        </is>
      </c>
      <c r="G58" s="33" t="inlineStr">
        <is>
          <t>—</t>
        </is>
      </c>
      <c r="H58" s="33" t="inlineStr">
        <is>
          <t>中西區</t>
        </is>
      </c>
      <c r="I58" s="33" t="inlineStr">
        <is>
          <t>No</t>
        </is>
      </c>
      <c r="J58" s="33" t="inlineStr">
        <is>
          <t>18 valores distintos</t>
        </is>
      </c>
      <c r="K58" s="33" t="inlineStr">
        <is>
          <t>Pública</t>
        </is>
      </c>
      <c r="L58" s="33" t="inlineStr">
        <is>
          <t>Copiado de curated/geo/distritos.csv (unión por codigo). Origen: Tomado de la tabla de Wikipedia y unido por nombre inglés.</t>
        </is>
      </c>
      <c r="M58" s="33" t="inlineStr">
        <is>
          <t>¿Cómo se llama el distrito en chino?</t>
        </is>
      </c>
    </row>
    <row r="59" ht="15.75" customHeight="1" s="24">
      <c r="A59" s="33" t="inlineStr">
        <is>
          <t>F19</t>
        </is>
      </c>
      <c r="B59" s="33" t="inlineStr">
        <is>
          <t>public/data/atlas_zonas.json</t>
        </is>
      </c>
      <c r="C59" s="33" t="inlineStr">
        <is>
          <t>distritos[].distrito_es</t>
        </is>
      </c>
      <c r="D59" s="33" t="inlineStr">
        <is>
          <t>(no existe en la fuente)</t>
        </is>
      </c>
      <c r="E59" s="33" t="inlineStr">
        <is>
          <t>Nombre del distrito en español para la interfaz.</t>
        </is>
      </c>
      <c r="F59" s="33" t="inlineStr">
        <is>
          <t>Texto</t>
        </is>
      </c>
      <c r="G59" s="33" t="inlineStr">
        <is>
          <t>—</t>
        </is>
      </c>
      <c r="H59" s="33" t="inlineStr">
        <is>
          <t>Centro y Oeste</t>
        </is>
      </c>
      <c r="I59" s="33" t="inlineStr">
        <is>
          <t>No</t>
        </is>
      </c>
      <c r="J59" s="33" t="inlineStr">
        <is>
          <t>18 valores distintos</t>
        </is>
      </c>
      <c r="K59" s="33" t="inlineStr">
        <is>
          <t>Pública</t>
        </is>
      </c>
      <c r="L59" s="33" t="inlineStr">
        <is>
          <t>Traducción propia del nombre inglés.</t>
        </is>
      </c>
      <c r="M59" s="33" t="inlineStr">
        <is>
          <t>¿Cómo mostrar el distrito al usuario?</t>
        </is>
      </c>
    </row>
    <row r="60" ht="15.75" customHeight="1" s="24">
      <c r="A60" s="33" t="inlineStr">
        <is>
          <t>F19</t>
        </is>
      </c>
      <c r="B60" s="33" t="inlineStr">
        <is>
          <t>public/data/atlas_zonas.json</t>
        </is>
      </c>
      <c r="C60" s="33" t="inlineStr">
        <is>
          <t>distritos[].region</t>
        </is>
      </c>
      <c r="D60" s="33" t="inlineStr">
        <is>
          <t>(no existe en la fuente)</t>
        </is>
      </c>
      <c r="E60" s="33" t="inlineStr">
        <is>
          <t>Gran región a la que pertenece el distrito (Isla de HK, Kowloon o Nuevos Territorios).</t>
        </is>
      </c>
      <c r="F60" s="33" t="inlineStr">
        <is>
          <t>Texto</t>
        </is>
      </c>
      <c r="G60" s="33" t="inlineStr">
        <is>
          <t>—</t>
        </is>
      </c>
      <c r="H60" s="33" t="inlineStr">
        <is>
          <t>Isla de Hong Kong</t>
        </is>
      </c>
      <c r="I60" s="33" t="inlineStr">
        <is>
          <t>No</t>
        </is>
      </c>
      <c r="J60" s="33" t="inlineStr">
        <is>
          <t>Isla de Hong Kong; Kowloon; Nuevos Territorios</t>
        </is>
      </c>
      <c r="K60" s="33" t="inlineStr">
        <is>
          <t>Pública</t>
        </is>
      </c>
      <c r="L60" s="33" t="inlineStr">
        <is>
          <t>Asignada por tabla maestra según la división administrativa oficial; traducida al español.</t>
        </is>
      </c>
      <c r="M60" s="33" t="inlineStr">
        <is>
          <t>¿Cómo se reparte la población entre las tres regiones? (Wiki 1.2)</t>
        </is>
      </c>
    </row>
    <row r="61" ht="15.75" customHeight="1" s="24">
      <c r="A61" s="33" t="inlineStr">
        <is>
          <t>F20</t>
        </is>
      </c>
      <c r="B61" s="33" t="inlineStr">
        <is>
          <t>public/data/atlas_zonas.json</t>
        </is>
      </c>
      <c r="C61" s="33" t="inlineStr">
        <is>
          <t>distritos[].poblacion_2021</t>
        </is>
      </c>
      <c r="D61" s="33" t="inlineStr">
        <is>
          <t>t_pop</t>
        </is>
      </c>
      <c r="E61" s="33" t="inlineStr">
        <is>
          <t>Población residente total del distrito en el Censo 2021.</t>
        </is>
      </c>
      <c r="F61" s="33" t="inlineStr">
        <is>
          <t>Entero</t>
        </is>
      </c>
      <c r="G61" s="33" t="inlineStr">
        <is>
          <t>personas</t>
        </is>
      </c>
      <c r="H61" s="33" t="inlineStr">
        <is>
          <t>235953</t>
        </is>
      </c>
      <c r="I61" s="33" t="inlineStr">
        <is>
          <t>No</t>
        </is>
      </c>
      <c r="J61" s="33" t="inlineStr">
        <is>
          <t>166.695 a 692.806</t>
        </is>
      </c>
      <c r="K61" s="33" t="inlineStr">
        <is>
          <t>Pública</t>
        </is>
      </c>
      <c r="L61" s="33" t="inlineStr">
        <is>
          <t>Copiado de curated/demografia/distritos_censo2021.csv (unión por codigo). Origen: Renombrado; descarga vía WFS CSDI.</t>
        </is>
      </c>
      <c r="M61" s="33" t="inlineStr">
        <is>
          <t>¿Cuánta gente vive en cada distrito? (Wiki 1)</t>
        </is>
      </c>
    </row>
    <row r="62" ht="15.75" customHeight="1" s="24">
      <c r="A62" s="33" t="inlineStr">
        <is>
          <t>F20</t>
        </is>
      </c>
      <c r="B62" s="33" t="inlineStr">
        <is>
          <t>public/data/atlas_zonas.json</t>
        </is>
      </c>
      <c r="C62" s="33" t="inlineStr">
        <is>
          <t>distritos[].hogares_2021</t>
        </is>
      </c>
      <c r="D62" s="33" t="inlineStr">
        <is>
          <t>dh</t>
        </is>
      </c>
      <c r="E62" s="33" t="inlineStr">
        <is>
          <t>Número de hogares domésticos en 2021.</t>
        </is>
      </c>
      <c r="F62" s="33" t="inlineStr">
        <is>
          <t>Entero</t>
        </is>
      </c>
      <c r="G62" s="33" t="inlineStr">
        <is>
          <t>hogares</t>
        </is>
      </c>
      <c r="H62" s="33" t="inlineStr">
        <is>
          <t>88922</t>
        </is>
      </c>
      <c r="I62" s="33" t="inlineStr">
        <is>
          <t>No</t>
        </is>
      </c>
      <c r="J62" s="33" t="inlineStr">
        <is>
          <t>63.128 a 247.592</t>
        </is>
      </c>
      <c r="K62" s="33" t="inlineStr">
        <is>
          <t>Pública</t>
        </is>
      </c>
      <c r="L62" s="33" t="inlineStr">
        <is>
          <t>Copiado de curated/demografia/distritos_censo2021.csv (unión por codigo). Origen: Renombrado.</t>
        </is>
      </c>
      <c r="M62" s="33" t="inlineStr">
        <is>
          <t>¿Cuántos hogares hay por distrito?</t>
        </is>
      </c>
    </row>
    <row r="63" ht="15.75" customHeight="1" s="24">
      <c r="A63" s="33" t="inlineStr">
        <is>
          <t>F20</t>
        </is>
      </c>
      <c r="B63" s="33" t="inlineStr">
        <is>
          <t>public/data/atlas_zonas.json</t>
        </is>
      </c>
      <c r="C63" s="33" t="inlineStr">
        <is>
          <t>distritos[].tamano_medio_hogar</t>
        </is>
      </c>
      <c r="D63" s="33" t="inlineStr">
        <is>
          <t>adhz</t>
        </is>
      </c>
      <c r="E63" s="33" t="inlineStr">
        <is>
          <t>Promedio de personas por hogar doméstico.</t>
        </is>
      </c>
      <c r="F63" s="33" t="inlineStr">
        <is>
          <t>Decimal</t>
        </is>
      </c>
      <c r="G63" s="33" t="inlineStr">
        <is>
          <t>personas/hogar</t>
        </is>
      </c>
      <c r="H63" s="33" t="inlineStr">
        <is>
          <t>2.6</t>
        </is>
      </c>
      <c r="I63" s="33" t="inlineStr">
        <is>
          <t>No</t>
        </is>
      </c>
      <c r="J63" s="33" t="inlineStr">
        <is>
          <t>2,5 a 2,9</t>
        </is>
      </c>
      <c r="K63" s="33" t="inlineStr">
        <is>
          <t>Pública</t>
        </is>
      </c>
      <c r="L63" s="33" t="inlineStr">
        <is>
          <t>Copiado de curated/demografia/distritos_censo2021.csv (unión por codigo). Origen: Renombrado.</t>
        </is>
      </c>
      <c r="M63" s="33" t="inlineStr">
        <is>
          <t>¿Dónde viven hogares más grandes o más pequeños? (Wiki 2.8)</t>
        </is>
      </c>
    </row>
    <row r="64" ht="15.75" customHeight="1" s="24">
      <c r="A64" s="33" t="inlineStr">
        <is>
          <t>F20</t>
        </is>
      </c>
      <c r="B64" s="33" t="inlineStr">
        <is>
          <t>public/data/atlas_zonas.json</t>
        </is>
      </c>
      <c r="C64" s="33" t="inlineStr">
        <is>
          <t>distritos[].edad_mediana</t>
        </is>
      </c>
      <c r="D64" s="33" t="inlineStr">
        <is>
          <t>t_ma (Censo 2021 (DC_21C)) / lbnp_ma_t (Encuesta General de Hogares (DC_GHS))</t>
        </is>
      </c>
      <c r="E64" s="33" t="inlineStr">
        <is>
          <t>Edad que divide a la población en dos mitades.</t>
        </is>
      </c>
      <c r="F64" s="33" t="inlineStr">
        <is>
          <t>Decimal</t>
        </is>
      </c>
      <c r="G64" s="33" t="inlineStr">
        <is>
          <t>años</t>
        </is>
      </c>
      <c r="H64" s="33" t="inlineStr">
        <is>
          <t>44.8</t>
        </is>
      </c>
      <c r="I64" s="33" t="inlineStr">
        <is>
          <t>No</t>
        </is>
      </c>
      <c r="J64" s="33" t="inlineStr">
        <is>
          <t>42,7 a 50,1</t>
        </is>
      </c>
      <c r="K64" s="33" t="inlineStr">
        <is>
          <t>Pública</t>
        </is>
      </c>
      <c r="L64" s="33" t="inlineStr">
        <is>
          <t>Copiado de curated/demografia/distritos_censo2021.csv (unión por codigo). Origen: Renombrado; en el panel GHS la fuente la publica redondeada a entero.</t>
        </is>
      </c>
      <c r="M64" s="33" t="inlineStr">
        <is>
          <t>¿Qué distritos están más envejecidos? (Wiki 1.3)</t>
        </is>
      </c>
    </row>
    <row r="65" ht="15.75" customHeight="1" s="24">
      <c r="A65" s="33" t="inlineStr">
        <is>
          <t>F20</t>
        </is>
      </c>
      <c r="B65" s="33" t="inlineStr">
        <is>
          <t>public/data/atlas_zonas.json</t>
        </is>
      </c>
      <c r="C65" s="33" t="inlineStr">
        <is>
          <t>distritos[].razon_sexos_hombres_por_1000_mujeres</t>
        </is>
      </c>
      <c r="D65" s="33" t="inlineStr">
        <is>
          <t>sr</t>
        </is>
      </c>
      <c r="E65" s="33" t="inlineStr">
        <is>
          <t>Hombres por cada 1.000 mujeres (incluye empleadas domésticas extranjeras).</t>
        </is>
      </c>
      <c r="F65" s="33" t="inlineStr">
        <is>
          <t>Entero</t>
        </is>
      </c>
      <c r="G65" s="33" t="inlineStr">
        <is>
          <t>hombres por 1.000 mujeres</t>
        </is>
      </c>
      <c r="H65" s="33" t="inlineStr">
        <is>
          <t>714</t>
        </is>
      </c>
      <c r="I65" s="33" t="inlineStr">
        <is>
          <t>No</t>
        </is>
      </c>
      <c r="J65" s="33" t="inlineStr">
        <is>
          <t>673 a 902</t>
        </is>
      </c>
      <c r="K65" s="33" t="inlineStr">
        <is>
          <t>Pública</t>
        </is>
      </c>
      <c r="L65" s="33" t="inlineStr">
        <is>
          <t>Copiado de curated/demografia/distritos_censo2021.csv (unión por codigo). Origen: Renombrado.</t>
        </is>
      </c>
      <c r="M65" s="33" t="inlineStr">
        <is>
          <t>¿Cuál es el balance entre hombres y mujeres? (Wiki 1.3)</t>
        </is>
      </c>
    </row>
    <row r="66" ht="15.75" customHeight="1" s="24">
      <c r="A66" s="33" t="inlineStr">
        <is>
          <t>F20</t>
        </is>
      </c>
      <c r="B66" s="33" t="inlineStr">
        <is>
          <t>public/data/atlas_zonas.json</t>
        </is>
      </c>
      <c r="C66" s="33" t="inlineStr">
        <is>
          <t>distritos[].pob_0_14</t>
        </is>
      </c>
      <c r="D66" s="33" t="inlineStr">
        <is>
          <t>age_1</t>
        </is>
      </c>
      <c r="E66" s="33" t="inlineStr">
        <is>
          <t>Población de 0 a 14 años.</t>
        </is>
      </c>
      <c r="F66" s="33" t="inlineStr">
        <is>
          <t>Entero</t>
        </is>
      </c>
      <c r="G66" s="33" t="inlineStr">
        <is>
          <t>personas</t>
        </is>
      </c>
      <c r="H66" s="33" t="inlineStr">
        <is>
          <t>24382</t>
        </is>
      </c>
      <c r="I66" s="33" t="inlineStr">
        <is>
          <t>No</t>
        </is>
      </c>
      <c r="J66" s="33" t="inlineStr">
        <is>
          <t>16.917 a 78.886</t>
        </is>
      </c>
      <c r="K66" s="33" t="inlineStr">
        <is>
          <t>Pública</t>
        </is>
      </c>
      <c r="L66" s="33" t="inlineStr">
        <is>
          <t>Copiado de curated/demografia/distritos_censo2021.csv (unión por codigo). Origen: Renombrado; validado: la suma de los 5 grupos = t_pop.</t>
        </is>
      </c>
      <c r="M66" s="33" t="inlineStr">
        <is>
          <t>¿Cuántos niños hay por distrito? (Wiki 1.3, 1.10)</t>
        </is>
      </c>
    </row>
    <row r="67" ht="15.75" customHeight="1" s="24">
      <c r="A67" s="33" t="inlineStr">
        <is>
          <t>F20</t>
        </is>
      </c>
      <c r="B67" s="33" t="inlineStr">
        <is>
          <t>public/data/atlas_zonas.json</t>
        </is>
      </c>
      <c r="C67" s="33" t="inlineStr">
        <is>
          <t>distritos[].pob_15_24</t>
        </is>
      </c>
      <c r="D67" s="33" t="inlineStr">
        <is>
          <t>age_2</t>
        </is>
      </c>
      <c r="E67" s="33" t="inlineStr">
        <is>
          <t>Población de 15 a 24 años.</t>
        </is>
      </c>
      <c r="F67" s="33" t="inlineStr">
        <is>
          <t>Entero</t>
        </is>
      </c>
      <c r="G67" s="33" t="inlineStr">
        <is>
          <t>personas</t>
        </is>
      </c>
      <c r="H67" s="33" t="inlineStr">
        <is>
          <t>16779</t>
        </is>
      </c>
      <c r="I67" s="33" t="inlineStr">
        <is>
          <t>No</t>
        </is>
      </c>
      <c r="J67" s="33" t="inlineStr">
        <is>
          <t>9.907 a 60.321</t>
        </is>
      </c>
      <c r="K67" s="33" t="inlineStr">
        <is>
          <t>Pública</t>
        </is>
      </c>
      <c r="L67" s="33" t="inlineStr">
        <is>
          <t>Copiado de curated/demografia/distritos_censo2021.csv (unión por codigo). Origen: Renombrado.</t>
        </is>
      </c>
      <c r="M67" s="33" t="inlineStr">
        <is>
          <t>¿Cuántos jóvenes hay por distrito?</t>
        </is>
      </c>
    </row>
    <row r="68" ht="15.75" customHeight="1" s="24">
      <c r="A68" s="33" t="inlineStr">
        <is>
          <t>F20</t>
        </is>
      </c>
      <c r="B68" s="33" t="inlineStr">
        <is>
          <t>public/data/atlas_zonas.json</t>
        </is>
      </c>
      <c r="C68" s="33" t="inlineStr">
        <is>
          <t>distritos[].pob_25_44</t>
        </is>
      </c>
      <c r="D68" s="33" t="inlineStr">
        <is>
          <t>age_3</t>
        </is>
      </c>
      <c r="E68" s="33" t="inlineStr">
        <is>
          <t>Población de 25 a 44 años.</t>
        </is>
      </c>
      <c r="F68" s="33" t="inlineStr">
        <is>
          <t>Entero</t>
        </is>
      </c>
      <c r="G68" s="33" t="inlineStr">
        <is>
          <t>personas</t>
        </is>
      </c>
      <c r="H68" s="33" t="inlineStr">
        <is>
          <t>77767</t>
        </is>
      </c>
      <c r="I68" s="33" t="inlineStr">
        <is>
          <t>No</t>
        </is>
      </c>
      <c r="J68" s="33" t="inlineStr">
        <is>
          <t>53.860 a 211.376</t>
        </is>
      </c>
      <c r="K68" s="33" t="inlineStr">
        <is>
          <t>Pública</t>
        </is>
      </c>
      <c r="L68" s="33" t="inlineStr">
        <is>
          <t>Copiado de curated/demografia/distritos_censo2021.csv (unión por codigo). Origen: Renombrado.</t>
        </is>
      </c>
      <c r="M68" s="33" t="inlineStr">
        <is>
          <t>¿Dónde se concentra la población adulta joven?</t>
        </is>
      </c>
    </row>
    <row r="69" ht="15.75" customHeight="1" s="24">
      <c r="A69" s="33" t="inlineStr">
        <is>
          <t>F20</t>
        </is>
      </c>
      <c r="B69" s="33" t="inlineStr">
        <is>
          <t>public/data/atlas_zonas.json</t>
        </is>
      </c>
      <c r="C69" s="33" t="inlineStr">
        <is>
          <t>distritos[].pob_45_64</t>
        </is>
      </c>
      <c r="D69" s="33" t="inlineStr">
        <is>
          <t>age_4</t>
        </is>
      </c>
      <c r="E69" s="33" t="inlineStr">
        <is>
          <t>Población de 45 a 64 años.</t>
        </is>
      </c>
      <c r="F69" s="33" t="inlineStr">
        <is>
          <t>Entero</t>
        </is>
      </c>
      <c r="G69" s="33" t="inlineStr">
        <is>
          <t>personas</t>
        </is>
      </c>
      <c r="H69" s="33" t="inlineStr">
        <is>
          <t>71534</t>
        </is>
      </c>
      <c r="I69" s="33" t="inlineStr">
        <is>
          <t>No</t>
        </is>
      </c>
      <c r="J69" s="33" t="inlineStr">
        <is>
          <t>50.632 a 220.703</t>
        </is>
      </c>
      <c r="K69" s="33" t="inlineStr">
        <is>
          <t>Pública</t>
        </is>
      </c>
      <c r="L69" s="33" t="inlineStr">
        <is>
          <t>Copiado de curated/demografia/distritos_censo2021.csv (unión por codigo). Origen: Renombrado.</t>
        </is>
      </c>
      <c r="M69" s="33" t="inlineStr">
        <is>
          <t>¿Dónde se concentra la población adulta mayor?</t>
        </is>
      </c>
    </row>
    <row r="70" ht="15.75" customHeight="1" s="24">
      <c r="A70" s="33" t="inlineStr">
        <is>
          <t>F20</t>
        </is>
      </c>
      <c r="B70" s="33" t="inlineStr">
        <is>
          <t>public/data/atlas_zonas.json</t>
        </is>
      </c>
      <c r="C70" s="33" t="inlineStr">
        <is>
          <t>distritos[].pob_65_mas</t>
        </is>
      </c>
      <c r="D70" s="33" t="inlineStr">
        <is>
          <t>age_5</t>
        </is>
      </c>
      <c r="E70" s="33" t="inlineStr">
        <is>
          <t>Población de 65 años o más.</t>
        </is>
      </c>
      <c r="F70" s="33" t="inlineStr">
        <is>
          <t>Entero</t>
        </is>
      </c>
      <c r="G70" s="33" t="inlineStr">
        <is>
          <t>personas</t>
        </is>
      </c>
      <c r="H70" s="33" t="inlineStr">
        <is>
          <t>45491</t>
        </is>
      </c>
      <c r="I70" s="33" t="inlineStr">
        <is>
          <t>No</t>
        </is>
      </c>
      <c r="J70" s="33" t="inlineStr">
        <is>
          <t>27.296 a 147.741</t>
        </is>
      </c>
      <c r="K70" s="33" t="inlineStr">
        <is>
          <t>Pública</t>
        </is>
      </c>
      <c r="L70" s="33" t="inlineStr">
        <is>
          <t>Copiado de curated/demografia/distritos_censo2021.csv (unión por codigo). Origen: Renombrado.</t>
        </is>
      </c>
      <c r="M70" s="33" t="inlineStr">
        <is>
          <t>¿Cuántas personas mayores hay por distrito? (Wiki 1.3)</t>
        </is>
      </c>
    </row>
    <row r="71" ht="15.75" customHeight="1" s="24">
      <c r="A71" s="33" t="inlineStr">
        <is>
          <t>F20</t>
        </is>
      </c>
      <c r="B71" s="33" t="inlineStr">
        <is>
          <t>public/data/atlas_zonas.json</t>
        </is>
      </c>
      <c r="C71" s="33" t="inlineStr">
        <is>
          <t>distritos[].pct_0_14</t>
        </is>
      </c>
      <c r="D71" s="33" t="inlineStr">
        <is>
          <t>(calculado)</t>
        </is>
      </c>
      <c r="E71" s="33" t="inlineStr">
        <is>
          <t>Porcentaje de la población con 0–14 años.</t>
        </is>
      </c>
      <c r="F71" s="33" t="inlineStr">
        <is>
          <t>Decimal</t>
        </is>
      </c>
      <c r="G71" s="33" t="inlineStr">
        <is>
          <t>%</t>
        </is>
      </c>
      <c r="H71" s="33" t="inlineStr">
        <is>
          <t>10.33</t>
        </is>
      </c>
      <c r="I71" s="33" t="inlineStr">
        <is>
          <t>No</t>
        </is>
      </c>
      <c r="J71" s="33" t="inlineStr">
        <is>
          <t>8,92 a 12,83</t>
        </is>
      </c>
      <c r="K71" s="33" t="inlineStr">
        <is>
          <t>Pública</t>
        </is>
      </c>
      <c r="L71" s="33" t="inlineStr">
        <is>
          <t>Copiado de curated/demografia/distritos_censo2021.csv (unión por codigo). Origen: 100 × age_1 / t_pop, 2 decimales.</t>
        </is>
      </c>
      <c r="M71" s="33" t="inlineStr">
        <is>
          <t>¿Qué distritos tienen más peso de niños? (Wiki 1.10)</t>
        </is>
      </c>
    </row>
    <row r="72" ht="15.75" customHeight="1" s="24">
      <c r="A72" s="33" t="inlineStr">
        <is>
          <t>F20</t>
        </is>
      </c>
      <c r="B72" s="33" t="inlineStr">
        <is>
          <t>public/data/atlas_zonas.json</t>
        </is>
      </c>
      <c r="C72" s="33" t="inlineStr">
        <is>
          <t>distritos[].pct_15_24</t>
        </is>
      </c>
      <c r="D72" s="33" t="inlineStr">
        <is>
          <t>(calculado)</t>
        </is>
      </c>
      <c r="E72" s="33" t="inlineStr">
        <is>
          <t>Porcentaje de la población con 15–24 años.</t>
        </is>
      </c>
      <c r="F72" s="33" t="inlineStr">
        <is>
          <t>Decimal</t>
        </is>
      </c>
      <c r="G72" s="33" t="inlineStr">
        <is>
          <t>%</t>
        </is>
      </c>
      <c r="H72" s="33" t="inlineStr">
        <is>
          <t>7.11</t>
        </is>
      </c>
      <c r="I72" s="33" t="inlineStr">
        <is>
          <t>No</t>
        </is>
      </c>
      <c r="J72" s="33" t="inlineStr">
        <is>
          <t>5,94 a 9,07</t>
        </is>
      </c>
      <c r="K72" s="33" t="inlineStr">
        <is>
          <t>Pública</t>
        </is>
      </c>
      <c r="L72" s="33" t="inlineStr">
        <is>
          <t>Copiado de curated/demografia/distritos_censo2021.csv (unión por codigo). Origen: 100 × age_2 / t_pop.</t>
        </is>
      </c>
      <c r="M72" s="33" t="inlineStr">
        <is>
          <t>¿Qué peso tienen los jóvenes en cada distrito?</t>
        </is>
      </c>
    </row>
    <row r="73" ht="15.75" customHeight="1" s="24">
      <c r="A73" s="33" t="inlineStr">
        <is>
          <t>F20</t>
        </is>
      </c>
      <c r="B73" s="33" t="inlineStr">
        <is>
          <t>public/data/atlas_zonas.json</t>
        </is>
      </c>
      <c r="C73" s="33" t="inlineStr">
        <is>
          <t>distritos[].pct_25_44</t>
        </is>
      </c>
      <c r="D73" s="33" t="inlineStr">
        <is>
          <t>(calculado)</t>
        </is>
      </c>
      <c r="E73" s="33" t="inlineStr">
        <is>
          <t>Porcentaje de la población con 25–44 años.</t>
        </is>
      </c>
      <c r="F73" s="33" t="inlineStr">
        <is>
          <t>Decimal</t>
        </is>
      </c>
      <c r="G73" s="33" t="inlineStr">
        <is>
          <t>%</t>
        </is>
      </c>
      <c r="H73" s="33" t="inlineStr">
        <is>
          <t>32.96</t>
        </is>
      </c>
      <c r="I73" s="33" t="inlineStr">
        <is>
          <t>No</t>
        </is>
      </c>
      <c r="J73" s="33" t="inlineStr">
        <is>
          <t>25,41 a 32,96</t>
        </is>
      </c>
      <c r="K73" s="33" t="inlineStr">
        <is>
          <t>Pública</t>
        </is>
      </c>
      <c r="L73" s="33" t="inlineStr">
        <is>
          <t>Copiado de curated/demografia/distritos_censo2021.csv (unión por codigo). Origen: 100 × age_3 / t_pop.</t>
        </is>
      </c>
      <c r="M73" s="33" t="inlineStr">
        <is>
          <t>¿Qué peso tiene la población adulta joven?</t>
        </is>
      </c>
    </row>
    <row r="74" ht="15.75" customHeight="1" s="24">
      <c r="A74" s="33" t="inlineStr">
        <is>
          <t>F20</t>
        </is>
      </c>
      <c r="B74" s="33" t="inlineStr">
        <is>
          <t>public/data/atlas_zonas.json</t>
        </is>
      </c>
      <c r="C74" s="33" t="inlineStr">
        <is>
          <t>distritos[].pct_45_64</t>
        </is>
      </c>
      <c r="D74" s="33" t="inlineStr">
        <is>
          <t>(calculado)</t>
        </is>
      </c>
      <c r="E74" s="33" t="inlineStr">
        <is>
          <t>Porcentaje de la población con 45–64 años.</t>
        </is>
      </c>
      <c r="F74" s="33" t="inlineStr">
        <is>
          <t>Decimal</t>
        </is>
      </c>
      <c r="G74" s="33" t="inlineStr">
        <is>
          <t>%</t>
        </is>
      </c>
      <c r="H74" s="33" t="inlineStr">
        <is>
          <t>30.32</t>
        </is>
      </c>
      <c r="I74" s="33" t="inlineStr">
        <is>
          <t>No</t>
        </is>
      </c>
      <c r="J74" s="33" t="inlineStr">
        <is>
          <t>30,32 a 34,49</t>
        </is>
      </c>
      <c r="K74" s="33" t="inlineStr">
        <is>
          <t>Pública</t>
        </is>
      </c>
      <c r="L74" s="33" t="inlineStr">
        <is>
          <t>Copiado de curated/demografia/distritos_censo2021.csv (unión por codigo). Origen: 100 × age_4 / t_pop.</t>
        </is>
      </c>
      <c r="M74" s="33" t="inlineStr">
        <is>
          <t>¿Qué peso tiene la población adulta mayor?</t>
        </is>
      </c>
    </row>
    <row r="75" ht="15.75" customHeight="1" s="24">
      <c r="A75" s="33" t="inlineStr">
        <is>
          <t>F20</t>
        </is>
      </c>
      <c r="B75" s="33" t="inlineStr">
        <is>
          <t>public/data/atlas_zonas.json</t>
        </is>
      </c>
      <c r="C75" s="33" t="inlineStr">
        <is>
          <t>distritos[].pct_65_mas</t>
        </is>
      </c>
      <c r="D75" s="33" t="inlineStr">
        <is>
          <t>(calculado)</t>
        </is>
      </c>
      <c r="E75" s="33" t="inlineStr">
        <is>
          <t>Porcentaje de la población con 65 años o más.</t>
        </is>
      </c>
      <c r="F75" s="33" t="inlineStr">
        <is>
          <t>Decimal</t>
        </is>
      </c>
      <c r="G75" s="33" t="inlineStr">
        <is>
          <t>%</t>
        </is>
      </c>
      <c r="H75" s="33" t="inlineStr">
        <is>
          <t>19.28</t>
        </is>
      </c>
      <c r="I75" s="33" t="inlineStr">
        <is>
          <t>No</t>
        </is>
      </c>
      <c r="J75" s="33" t="inlineStr">
        <is>
          <t>14,73 a 23,36</t>
        </is>
      </c>
      <c r="K75" s="33" t="inlineStr">
        <is>
          <t>Pública</t>
        </is>
      </c>
      <c r="L75" s="33" t="inlineStr">
        <is>
          <t>Copiado de curated/demografia/distritos_censo2021.csv (unión por codigo). Origen: 100 × age_5 / t_pop, 2 decimales.</t>
        </is>
      </c>
      <c r="M75" s="33" t="inlineStr">
        <is>
          <t>¿Qué distritos están más envejecidos? (Wiki 1.3)</t>
        </is>
      </c>
    </row>
    <row r="76" ht="15.75" customHeight="1" s="24">
      <c r="A76" s="33" t="inlineStr">
        <is>
          <t>F20</t>
        </is>
      </c>
      <c r="B76" s="33" t="inlineStr">
        <is>
          <t>public/data/atlas_zonas.json</t>
        </is>
      </c>
      <c r="C76" s="33" t="inlineStr">
        <is>
          <t>distritos[].indice_envejecimiento</t>
        </is>
      </c>
      <c r="D76" s="33" t="inlineStr">
        <is>
          <t>(calculado)</t>
        </is>
      </c>
      <c r="E76" s="33" t="inlineStr">
        <is>
          <t>Personas de 65+ por cada 100 menores de 15 años.</t>
        </is>
      </c>
      <c r="F76" s="33" t="inlineStr">
        <is>
          <t>Decimal</t>
        </is>
      </c>
      <c r="G76" s="33" t="inlineStr">
        <is>
          <t>personas 65+ por 100 de 0–14</t>
        </is>
      </c>
      <c r="H76" s="33" t="inlineStr">
        <is>
          <t>186.6</t>
        </is>
      </c>
      <c r="I76" s="33" t="inlineStr">
        <is>
          <t>No</t>
        </is>
      </c>
      <c r="J76" s="33" t="inlineStr">
        <is>
          <t>114,8 a 257,5</t>
        </is>
      </c>
      <c r="K76" s="33" t="inlineStr">
        <is>
          <t>Pública</t>
        </is>
      </c>
      <c r="L76" s="33" t="inlineStr">
        <is>
          <t>Copiado de curated/demografia/distritos_censo2021.csv (unión por codigo). Origen: 100 × age_5 / age_1.</t>
        </is>
      </c>
      <c r="M76" s="33" t="inlineStr">
        <is>
          <t>¿Dónde hay más mayores que niños? (Wiki 1.3)</t>
        </is>
      </c>
    </row>
    <row r="77" ht="15.75" customHeight="1" s="24">
      <c r="A77" s="33" t="inlineStr">
        <is>
          <t>F20</t>
        </is>
      </c>
      <c r="B77" s="33" t="inlineStr">
        <is>
          <t>public/data/atlas_zonas.json</t>
        </is>
      </c>
      <c r="C77" s="33" t="inlineStr">
        <is>
          <t>distritos[].pob_15_mas_con_titulo_universitario</t>
        </is>
      </c>
      <c r="D77" s="33" t="inlineStr">
        <is>
          <t>edu_deg</t>
        </is>
      </c>
      <c r="E77" s="33" t="inlineStr">
        <is>
          <t>Personas de 15+ cuyo nivel más alto es título universitario (grado).</t>
        </is>
      </c>
      <c r="F77" s="33" t="inlineStr">
        <is>
          <t>Entero</t>
        </is>
      </c>
      <c r="G77" s="33" t="inlineStr">
        <is>
          <t>personas</t>
        </is>
      </c>
      <c r="H77" s="33" t="inlineStr">
        <is>
          <t>89251</t>
        </is>
      </c>
      <c r="I77" s="33" t="inlineStr">
        <is>
          <t>No</t>
        </is>
      </c>
      <c r="J77" s="33" t="inlineStr">
        <is>
          <t>43.705 a 154.778</t>
        </is>
      </c>
      <c r="K77" s="33" t="inlineStr">
        <is>
          <t>Pública</t>
        </is>
      </c>
      <c r="L77" s="33" t="inlineStr">
        <is>
          <t>Copiado de curated/demografia/distritos_censo2021.csv (unión por codigo). Origen: Renombrado. No incluye educación superior no universitaria.</t>
        </is>
      </c>
      <c r="M77" s="33" t="inlineStr">
        <is>
          <t>¿Cuánta población tiene educación universitaria? (Wiki 1.6)</t>
        </is>
      </c>
    </row>
    <row r="78" ht="15.75" customHeight="1" s="24">
      <c r="A78" s="33" t="inlineStr">
        <is>
          <t>F20</t>
        </is>
      </c>
      <c r="B78" s="33" t="inlineStr">
        <is>
          <t>public/data/atlas_zonas.json</t>
        </is>
      </c>
      <c r="C78" s="33" t="inlineStr">
        <is>
          <t>distritos[].pct_titulo_universitario_15_mas</t>
        </is>
      </c>
      <c r="D78" s="33" t="inlineStr">
        <is>
          <t>(calculado)</t>
        </is>
      </c>
      <c r="E78" s="33" t="inlineStr">
        <is>
          <t>Porcentaje de la población de 15+ con título universitario.</t>
        </is>
      </c>
      <c r="F78" s="33" t="inlineStr">
        <is>
          <t>Decimal</t>
        </is>
      </c>
      <c r="G78" s="33" t="inlineStr">
        <is>
          <t>%</t>
        </is>
      </c>
      <c r="H78" s="33" t="inlineStr">
        <is>
          <t>42.18</t>
        </is>
      </c>
      <c r="I78" s="33" t="inlineStr">
        <is>
          <t>No</t>
        </is>
      </c>
      <c r="J78" s="33" t="inlineStr">
        <is>
          <t>16,42 a 42,43</t>
        </is>
      </c>
      <c r="K78" s="33" t="inlineStr">
        <is>
          <t>Pública</t>
        </is>
      </c>
      <c r="L78" s="33" t="inlineStr">
        <is>
          <t>Copiado de curated/demografia/distritos_censo2021.csv (unión por codigo). Origen: 100 × edu_deg / (t_pop − age_1).</t>
        </is>
      </c>
      <c r="M78" s="33" t="inlineStr">
        <is>
          <t>¿Qué distritos tienen más capital humano? (Wiki 1.6)</t>
        </is>
      </c>
    </row>
    <row r="79" ht="15.75" customHeight="1" s="24">
      <c r="A79" s="33" t="inlineStr">
        <is>
          <t>F20</t>
        </is>
      </c>
      <c r="B79" s="33" t="inlineStr">
        <is>
          <t>public/data/atlas_zonas.json</t>
        </is>
      </c>
      <c r="C79" s="33" t="inlineStr">
        <is>
          <t>distritos[].pob_nacida_en_hk</t>
        </is>
      </c>
      <c r="D79" s="33" t="inlineStr">
        <is>
          <t>born_hk</t>
        </is>
      </c>
      <c r="E79" s="33" t="inlineStr">
        <is>
          <t>Personas nacidas en Hong Kong.</t>
        </is>
      </c>
      <c r="F79" s="33" t="inlineStr">
        <is>
          <t>Entero</t>
        </is>
      </c>
      <c r="G79" s="33" t="inlineStr">
        <is>
          <t>personas</t>
        </is>
      </c>
      <c r="H79" s="33" t="inlineStr">
        <is>
          <t>126335</t>
        </is>
      </c>
      <c r="I79" s="33" t="inlineStr">
        <is>
          <t>No</t>
        </is>
      </c>
      <c r="J79" s="33" t="inlineStr">
        <is>
          <t>91.997 a 453.024</t>
        </is>
      </c>
      <c r="K79" s="33" t="inlineStr">
        <is>
          <t>Pública</t>
        </is>
      </c>
      <c r="L79" s="33" t="inlineStr">
        <is>
          <t>Copiado de curated/demografia/distritos_censo2021.csv (unión por codigo). Origen: Renombrado.</t>
        </is>
      </c>
      <c r="M79" s="33" t="inlineStr">
        <is>
          <t>¿Dónde vive más población local vs. migrante? (Wiki 1.9)</t>
        </is>
      </c>
    </row>
    <row r="80" ht="15.75" customHeight="1" s="24">
      <c r="A80" s="33" t="inlineStr">
        <is>
          <t>F20</t>
        </is>
      </c>
      <c r="B80" s="33" t="inlineStr">
        <is>
          <t>public/data/atlas_zonas.json</t>
        </is>
      </c>
      <c r="C80" s="33" t="inlineStr">
        <is>
          <t>distritos[].pct_nacida_en_hk</t>
        </is>
      </c>
      <c r="D80" s="33" t="inlineStr">
        <is>
          <t>(calculado)</t>
        </is>
      </c>
      <c r="E80" s="33" t="inlineStr">
        <is>
          <t>Porcentaje de la población nacida en Hong Kong.</t>
        </is>
      </c>
      <c r="F80" s="33" t="inlineStr">
        <is>
          <t>Decimal</t>
        </is>
      </c>
      <c r="G80" s="33" t="inlineStr">
        <is>
          <t>%</t>
        </is>
      </c>
      <c r="H80" s="33" t="inlineStr">
        <is>
          <t>53.54</t>
        </is>
      </c>
      <c r="I80" s="33" t="inlineStr">
        <is>
          <t>No</t>
        </is>
      </c>
      <c r="J80" s="33" t="inlineStr">
        <is>
          <t>52,55 a 68,56</t>
        </is>
      </c>
      <c r="K80" s="33" t="inlineStr">
        <is>
          <t>Pública</t>
        </is>
      </c>
      <c r="L80" s="33" t="inlineStr">
        <is>
          <t>Copiado de curated/demografia/distritos_censo2021.csv (unión por codigo). Origen: 100 × born_hk / t_pop.</t>
        </is>
      </c>
      <c r="M80" s="33" t="inlineStr">
        <is>
          <t>¿Qué distritos tienen más población nacida fuera? (Wiki 1.9)</t>
        </is>
      </c>
    </row>
    <row r="81" ht="15.75" customHeight="1" s="24">
      <c r="A81" s="33" t="inlineStr">
        <is>
          <t>F20</t>
        </is>
      </c>
      <c r="B81" s="33" t="inlineStr">
        <is>
          <t>public/data/atlas_zonas.json</t>
        </is>
      </c>
      <c r="C81" s="33" t="inlineStr">
        <is>
          <t>distritos[].pob_vivienda_publica_alquiler</t>
        </is>
      </c>
      <c r="D81" s="33" t="inlineStr">
        <is>
          <t>pop_pub</t>
        </is>
      </c>
      <c r="E81" s="33" t="inlineStr">
        <is>
          <t>Personas que viven en vivienda pública de alquiler (PRH).</t>
        </is>
      </c>
      <c r="F81" s="33" t="inlineStr">
        <is>
          <t>Entero</t>
        </is>
      </c>
      <c r="G81" s="33" t="inlineStr">
        <is>
          <t>personas</t>
        </is>
      </c>
      <c r="H81" s="33" t="inlineStr">
        <is>
          <t>8194</t>
        </is>
      </c>
      <c r="I81" s="33" t="inlineStr">
        <is>
          <t>No</t>
        </is>
      </c>
      <c r="J81" s="33" t="inlineStr">
        <is>
          <t>6.221 a 387.749</t>
        </is>
      </c>
      <c r="K81" s="33" t="inlineStr">
        <is>
          <t>Pública</t>
        </is>
      </c>
      <c r="L81" s="33" t="inlineStr">
        <is>
          <t>Copiado de curated/demografia/distritos_censo2021.csv (unión por codigo). Origen: Renombrado; validado: suma de tipos = t_pop.</t>
        </is>
      </c>
      <c r="M81" s="33" t="inlineStr">
        <is>
          <t>¿Cuánta gente depende de vivienda pública? (Wiki 2.4)</t>
        </is>
      </c>
    </row>
    <row r="82" ht="15.75" customHeight="1" s="24">
      <c r="A82" s="33" t="inlineStr">
        <is>
          <t>F20</t>
        </is>
      </c>
      <c r="B82" s="33" t="inlineStr">
        <is>
          <t>public/data/atlas_zonas.json</t>
        </is>
      </c>
      <c r="C82" s="33" t="inlineStr">
        <is>
          <t>distritos[].pob_vivienda_subsidiada_venta</t>
        </is>
      </c>
      <c r="D82" s="33" t="inlineStr">
        <is>
          <t>pop_s</t>
        </is>
      </c>
      <c r="E82" s="33" t="inlineStr">
        <is>
          <t>Personas que viven en vivienda subsidiada en propiedad (HOS y similares).</t>
        </is>
      </c>
      <c r="F82" s="33" t="inlineStr">
        <is>
          <t>Entero</t>
        </is>
      </c>
      <c r="G82" s="33" t="inlineStr">
        <is>
          <t>personas</t>
        </is>
      </c>
      <c r="H82" s="33" t="inlineStr">
        <is>
          <t>0</t>
        </is>
      </c>
      <c r="I82" s="33" t="inlineStr">
        <is>
          <t>No</t>
        </is>
      </c>
      <c r="J82" s="33" t="inlineStr">
        <is>
          <t>0 a 172.809</t>
        </is>
      </c>
      <c r="K82" s="33" t="inlineStr">
        <is>
          <t>Pública</t>
        </is>
      </c>
      <c r="L82" s="33" t="inlineStr">
        <is>
          <t>Copiado de curated/demografia/distritos_censo2021.csv (unión por codigo). Origen: Renombrado; el guion '-' de la fuente se convirtió en 0.</t>
        </is>
      </c>
      <c r="M82" s="33" t="inlineStr">
        <is>
          <t>¿Cuánta gente vive en vivienda subsidiada? (Wiki 2.4)</t>
        </is>
      </c>
    </row>
    <row r="83" ht="15.75" customHeight="1" s="24">
      <c r="A83" s="33" t="inlineStr">
        <is>
          <t>F20</t>
        </is>
      </c>
      <c r="B83" s="33" t="inlineStr">
        <is>
          <t>public/data/atlas_zonas.json</t>
        </is>
      </c>
      <c r="C83" s="33" t="inlineStr">
        <is>
          <t>distritos[].pob_vivienda_privada</t>
        </is>
      </c>
      <c r="D83" s="33" t="inlineStr">
        <is>
          <t>pop_pri</t>
        </is>
      </c>
      <c r="E83" s="33" t="inlineStr">
        <is>
          <t>Personas que viven en vivienda privada permanente.</t>
        </is>
      </c>
      <c r="F83" s="33" t="inlineStr">
        <is>
          <t>Entero</t>
        </is>
      </c>
      <c r="G83" s="33" t="inlineStr">
        <is>
          <t>personas</t>
        </is>
      </c>
      <c r="H83" s="33" t="inlineStr">
        <is>
          <t>222924</t>
        </is>
      </c>
      <c r="I83" s="33" t="inlineStr">
        <is>
          <t>No</t>
        </is>
      </c>
      <c r="J83" s="33" t="inlineStr">
        <is>
          <t>76.904 a 375.243</t>
        </is>
      </c>
      <c r="K83" s="33" t="inlineStr">
        <is>
          <t>Pública</t>
        </is>
      </c>
      <c r="L83" s="33" t="inlineStr">
        <is>
          <t>Copiado de curated/demografia/distritos_censo2021.csv (unión por codigo). Origen: Renombrado.</t>
        </is>
      </c>
      <c r="M83" s="33" t="inlineStr">
        <is>
          <t>¿Cuánta gente vive en vivienda privada? (Wiki 2.4)</t>
        </is>
      </c>
    </row>
    <row r="84" ht="15.75" customHeight="1" s="24">
      <c r="A84" s="33" t="inlineStr">
        <is>
          <t>F20</t>
        </is>
      </c>
      <c r="B84" s="33" t="inlineStr">
        <is>
          <t>public/data/atlas_zonas.json</t>
        </is>
      </c>
      <c r="C84" s="33" t="inlineStr">
        <is>
          <t>distritos[].pob_vivienda_temporal</t>
        </is>
      </c>
      <c r="D84" s="33" t="inlineStr">
        <is>
          <t>pop_tem</t>
        </is>
      </c>
      <c r="E84" s="33" t="inlineStr">
        <is>
          <t>Personas que viven en vivienda temporal.</t>
        </is>
      </c>
      <c r="F84" s="33" t="inlineStr">
        <is>
          <t>Entero</t>
        </is>
      </c>
      <c r="G84" s="33" t="inlineStr">
        <is>
          <t>personas</t>
        </is>
      </c>
      <c r="H84" s="33" t="inlineStr">
        <is>
          <t>138</t>
        </is>
      </c>
      <c r="I84" s="33" t="inlineStr">
        <is>
          <t>No</t>
        </is>
      </c>
      <c r="J84" s="33" t="inlineStr">
        <is>
          <t>116 a 16.408</t>
        </is>
      </c>
      <c r="K84" s="33" t="inlineStr">
        <is>
          <t>Pública</t>
        </is>
      </c>
      <c r="L84" s="33" t="inlineStr">
        <is>
          <t>Copiado de curated/demografia/distritos_censo2021.csv (unión por codigo). Origen: Renombrado.</t>
        </is>
      </c>
      <c r="M84" s="33" t="inlineStr">
        <is>
          <t>¿Dónde persiste la vivienda temporal? (Wiki 2.7)</t>
        </is>
      </c>
    </row>
    <row r="85" ht="15.75" customHeight="1" s="24">
      <c r="A85" s="33" t="inlineStr">
        <is>
          <t>F20</t>
        </is>
      </c>
      <c r="B85" s="33" t="inlineStr">
        <is>
          <t>public/data/atlas_zonas.json</t>
        </is>
      </c>
      <c r="C85" s="33" t="inlineStr">
        <is>
          <t>distritos[].pob_no_domestica</t>
        </is>
      </c>
      <c r="D85" s="33" t="inlineStr">
        <is>
          <t>pop_non</t>
        </is>
      </c>
      <c r="E85" s="33" t="inlineStr">
        <is>
          <t>Personas en alojamientos no domésticos (residencias, instituciones).</t>
        </is>
      </c>
      <c r="F85" s="33" t="inlineStr">
        <is>
          <t>Entero</t>
        </is>
      </c>
      <c r="G85" s="33" t="inlineStr">
        <is>
          <t>personas</t>
        </is>
      </c>
      <c r="H85" s="33" t="inlineStr">
        <is>
          <t>4697</t>
        </is>
      </c>
      <c r="I85" s="33" t="inlineStr">
        <is>
          <t>No</t>
        </is>
      </c>
      <c r="J85" s="33" t="inlineStr">
        <is>
          <t>1.632 a 9.894</t>
        </is>
      </c>
      <c r="K85" s="33" t="inlineStr">
        <is>
          <t>Pública</t>
        </is>
      </c>
      <c r="L85" s="33" t="inlineStr">
        <is>
          <t>Copiado de curated/demografia/distritos_censo2021.csv (unión por codigo). Origen: Renombrado.</t>
        </is>
      </c>
      <c r="M85" s="33" t="inlineStr">
        <is>
          <t>¿Cuánta población vive fuera de hogares domésticos? (Wiki 2.4)</t>
        </is>
      </c>
    </row>
    <row r="86" ht="15.75" customHeight="1" s="24">
      <c r="A86" s="33" t="inlineStr">
        <is>
          <t>F20</t>
        </is>
      </c>
      <c r="B86" s="33" t="inlineStr">
        <is>
          <t>public/data/atlas_zonas.json</t>
        </is>
      </c>
      <c r="C86" s="33" t="inlineStr">
        <is>
          <t>distritos[].pct_vivienda_publica_alquiler</t>
        </is>
      </c>
      <c r="D86" s="33" t="inlineStr">
        <is>
          <t>(calculado)</t>
        </is>
      </c>
      <c r="E86" s="33" t="inlineStr">
        <is>
          <t>Porcentaje de la población en vivienda pública de alquiler.</t>
        </is>
      </c>
      <c r="F86" s="33" t="inlineStr">
        <is>
          <t>Decimal</t>
        </is>
      </c>
      <c r="G86" s="33" t="inlineStr">
        <is>
          <t>%</t>
        </is>
      </c>
      <c r="H86" s="33" t="inlineStr">
        <is>
          <t>3.47</t>
        </is>
      </c>
      <c r="I86" s="33" t="inlineStr">
        <is>
          <t>No</t>
        </is>
      </c>
      <c r="J86" s="33" t="inlineStr">
        <is>
          <t>2,98 a 57,6</t>
        </is>
      </c>
      <c r="K86" s="33" t="inlineStr">
        <is>
          <t>Pública</t>
        </is>
      </c>
      <c r="L86" s="33" t="inlineStr">
        <is>
          <t>Copiado de curated/demografia/distritos_censo2021.csv (unión por codigo). Origen: 100 × pop_pub / t_pop.</t>
        </is>
      </c>
      <c r="M86" s="33" t="inlineStr">
        <is>
          <t>¿Qué distritos dependen más de la vivienda pública? (Wiki 2.4, 2.5)</t>
        </is>
      </c>
    </row>
    <row r="87" ht="15.75" customHeight="1" s="24">
      <c r="A87" s="33" t="inlineStr">
        <is>
          <t>F20</t>
        </is>
      </c>
      <c r="B87" s="33" t="inlineStr">
        <is>
          <t>public/data/atlas_zonas.json</t>
        </is>
      </c>
      <c r="C87" s="33" t="inlineStr">
        <is>
          <t>distritos[].pct_vivienda_subsidiada_venta</t>
        </is>
      </c>
      <c r="D87" s="33" t="inlineStr">
        <is>
          <t>(calculado)</t>
        </is>
      </c>
      <c r="E87" s="33" t="inlineStr">
        <is>
          <t>Porcentaje de la población en vivienda subsidiada en propiedad.</t>
        </is>
      </c>
      <c r="F87" s="33" t="inlineStr">
        <is>
          <t>Decimal</t>
        </is>
      </c>
      <c r="G87" s="33" t="inlineStr">
        <is>
          <t>%</t>
        </is>
      </c>
      <c r="H87" s="33" t="inlineStr">
        <is>
          <t>0.0</t>
        </is>
      </c>
      <c r="I87" s="33" t="inlineStr">
        <is>
          <t>No</t>
        </is>
      </c>
      <c r="J87" s="33" t="inlineStr">
        <is>
          <t>0 a 30,96</t>
        </is>
      </c>
      <c r="K87" s="33" t="inlineStr">
        <is>
          <t>Pública</t>
        </is>
      </c>
      <c r="L87" s="33" t="inlineStr">
        <is>
          <t>Copiado de curated/demografia/distritos_censo2021.csv (unión por codigo). Origen: 100 × pop_s / t_pop.</t>
        </is>
      </c>
      <c r="M87" s="33" t="inlineStr">
        <is>
          <t>¿Dónde pesa más la vivienda subsidiada? (Wiki 2.4)</t>
        </is>
      </c>
    </row>
    <row r="88" ht="15.75" customHeight="1" s="24">
      <c r="A88" s="33" t="inlineStr">
        <is>
          <t>F20</t>
        </is>
      </c>
      <c r="B88" s="33" t="inlineStr">
        <is>
          <t>public/data/atlas_zonas.json</t>
        </is>
      </c>
      <c r="C88" s="33" t="inlineStr">
        <is>
          <t>distritos[].pct_vivienda_privada</t>
        </is>
      </c>
      <c r="D88" s="33" t="inlineStr">
        <is>
          <t>(calculado)</t>
        </is>
      </c>
      <c r="E88" s="33" t="inlineStr">
        <is>
          <t>Porcentaje de la población en vivienda privada permanente.</t>
        </is>
      </c>
      <c r="F88" s="33" t="inlineStr">
        <is>
          <t>Decimal</t>
        </is>
      </c>
      <c r="G88" s="33" t="inlineStr">
        <is>
          <t>%</t>
        </is>
      </c>
      <c r="H88" s="33" t="inlineStr">
        <is>
          <t>94.48</t>
        </is>
      </c>
      <c r="I88" s="33" t="inlineStr">
        <is>
          <t>No</t>
        </is>
      </c>
      <c r="J88" s="33" t="inlineStr">
        <is>
          <t>18,9 a 95,22</t>
        </is>
      </c>
      <c r="K88" s="33" t="inlineStr">
        <is>
          <t>Pública</t>
        </is>
      </c>
      <c r="L88" s="33" t="inlineStr">
        <is>
          <t>Copiado de curated/demografia/distritos_censo2021.csv (unión por codigo). Origen: 100 × pop_pri / t_pop.</t>
        </is>
      </c>
      <c r="M88" s="33" t="inlineStr">
        <is>
          <t>¿Dónde domina el mercado privado de vivienda? (Wiki 2.4)</t>
        </is>
      </c>
    </row>
    <row r="89" ht="15.75" customHeight="1" s="24">
      <c r="A89" s="33" t="inlineStr">
        <is>
          <t>F20, F22</t>
        </is>
      </c>
      <c r="B89" s="33" t="inlineStr">
        <is>
          <t>public/data/atlas_zonas.json</t>
        </is>
      </c>
      <c r="C89" s="33" t="inlineStr">
        <is>
          <t>distritos[].densidad_hab_km2</t>
        </is>
      </c>
      <c r="D89" s="33" t="inlineStr">
        <is>
          <t>(calculado)</t>
        </is>
      </c>
      <c r="E89" s="33" t="inlineStr">
        <is>
          <t>Habitantes por kilómetro cuadrado de tierra.</t>
        </is>
      </c>
      <c r="F89" s="33" t="inlineStr">
        <is>
          <t>Decimal</t>
        </is>
      </c>
      <c r="G89" s="33" t="inlineStr">
        <is>
          <t>hab/km²</t>
        </is>
      </c>
      <c r="H89" s="33" t="inlineStr">
        <is>
          <t>18801.0</t>
        </is>
      </c>
      <c r="I89" s="33" t="inlineStr">
        <is>
          <t>No</t>
        </is>
      </c>
      <c r="J89" s="33" t="inlineStr">
        <is>
          <t>1.014 a 5,968e+04</t>
        </is>
      </c>
      <c r="K89" s="33" t="inlineStr">
        <is>
          <t>Pública</t>
        </is>
      </c>
      <c r="L89" s="33" t="inlineStr">
        <is>
          <t>Copiado de curated/demografia/distritos_censo2021.csv (unión por codigo). Origen: poblacion_2021 / area_km2_oficial, redondeado a entero.</t>
        </is>
      </c>
      <c r="M89" s="33" t="inlineStr">
        <is>
          <t>¿Qué tan denso es cada distrito? (Wiki 1.2)</t>
        </is>
      </c>
    </row>
    <row r="90" ht="15.75" customHeight="1" s="24">
      <c r="A90" s="33" t="inlineStr">
        <is>
          <t>F21</t>
        </is>
      </c>
      <c r="B90" s="33" t="inlineStr">
        <is>
          <t>public/data/atlas_zonas.json</t>
        </is>
      </c>
      <c r="C90" s="33" t="inlineStr">
        <is>
          <t>distritos[].poblacion_2025</t>
        </is>
      </c>
      <c r="D90" s="33" t="inlineStr">
        <is>
          <t>my_lp (year=2025)</t>
        </is>
      </c>
      <c r="E90" s="33" t="inlineStr">
        <is>
          <t>Población terrestre a mitad de 2025 según la Encuesta General de Hogares.</t>
        </is>
      </c>
      <c r="F90" s="33" t="inlineStr">
        <is>
          <t>Entero</t>
        </is>
      </c>
      <c r="G90" s="33" t="inlineStr">
        <is>
          <t>personas</t>
        </is>
      </c>
      <c r="H90" s="33" t="inlineStr">
        <is>
          <t>231900</t>
        </is>
      </c>
      <c r="I90" s="33" t="inlineStr">
        <is>
          <t>No</t>
        </is>
      </c>
      <c r="J90" s="33" t="inlineStr">
        <is>
          <t>163.000 a 692.400</t>
        </is>
      </c>
      <c r="K90" s="33" t="inlineStr">
        <is>
          <t>Pública</t>
        </is>
      </c>
      <c r="L90" s="33" t="inlineStr">
        <is>
          <t>Copiado de curated/demografia/distritos_censo2021.csv (unión por codigo). Origen: Filtrado al último año y unido por código.</t>
        </is>
      </c>
      <c r="M90" s="33" t="inlineStr">
        <is>
          <t>¿Cuánta gente vive hoy en cada distrito? (Wiki 1)</t>
        </is>
      </c>
    </row>
    <row r="91" ht="15.75" customHeight="1" s="24">
      <c r="A91" s="33" t="inlineStr">
        <is>
          <t>F21</t>
        </is>
      </c>
      <c r="B91" s="33" t="inlineStr">
        <is>
          <t>public/data/atlas_zonas.json</t>
        </is>
      </c>
      <c r="C91" s="33" t="inlineStr">
        <is>
          <t>distritos[].var_pob_2016_2025_pct</t>
        </is>
      </c>
      <c r="D91" s="33" t="inlineStr">
        <is>
          <t>(calculado de my_lp)</t>
        </is>
      </c>
      <c r="E91" s="33" t="inlineStr">
        <is>
          <t>Variación porcentual de la población terrestre entre 2016 y 2025.</t>
        </is>
      </c>
      <c r="F91" s="33" t="inlineStr">
        <is>
          <t>Decimal</t>
        </is>
      </c>
      <c r="G91" s="33" t="inlineStr">
        <is>
          <t>%</t>
        </is>
      </c>
      <c r="H91" s="33" t="inlineStr">
        <is>
          <t>-4.69</t>
        </is>
      </c>
      <c r="I91" s="33" t="inlineStr">
        <is>
          <t>No</t>
        </is>
      </c>
      <c r="J91" s="33" t="inlineStr">
        <is>
          <t>-12,07 a 26,53</t>
        </is>
      </c>
      <c r="K91" s="33" t="inlineStr">
        <is>
          <t>Pública</t>
        </is>
      </c>
      <c r="L91" s="33" t="inlineStr">
        <is>
          <t>Copiado de curated/demografia/distritos_censo2021.csv (unión por codigo). Origen: 100 × (my_lp 2025 / my_lp 2016 − 1).</t>
        </is>
      </c>
      <c r="M91" s="33" t="inlineStr">
        <is>
          <t>¿Qué distritos crecen y cuáles pierden población? (Wiki 1.1, 1.9)</t>
        </is>
      </c>
    </row>
    <row r="92" ht="15.75" customHeight="1" s="24">
      <c r="A92" s="33" t="inlineStr">
        <is>
          <t>F20</t>
        </is>
      </c>
      <c r="B92" s="33" t="inlineStr">
        <is>
          <t>public/data/atlas_zonas.json</t>
        </is>
      </c>
      <c r="C92" s="33" t="inlineStr">
        <is>
          <t>distritos[].ingreso_mediano_hogar_hkd_2021</t>
        </is>
      </c>
      <c r="D92" s="33" t="inlineStr">
        <is>
          <t>ma_hh</t>
        </is>
      </c>
      <c r="E92" s="33" t="inlineStr">
        <is>
          <t>Ingreso mensual mediano de los hogares domésticos en 2021.</t>
        </is>
      </c>
      <c r="F92" s="33" t="inlineStr">
        <is>
          <t>Entero</t>
        </is>
      </c>
      <c r="G92" s="33" t="inlineStr">
        <is>
          <t>HK$ por mes</t>
        </is>
      </c>
      <c r="H92" s="33" t="inlineStr">
        <is>
          <t>45040</t>
        </is>
      </c>
      <c r="I92" s="33" t="inlineStr">
        <is>
          <t>No</t>
        </is>
      </c>
      <c r="J92" s="33" t="inlineStr">
        <is>
          <t>21.490 a 45.040</t>
        </is>
      </c>
      <c r="K92" s="33" t="inlineStr">
        <is>
          <t>Pública</t>
        </is>
      </c>
      <c r="L92" s="33" t="inlineStr">
        <is>
          <t>Copiado de curated/economia/distritos_economia.csv (unión por codigo). Origen: Renombrado.</t>
        </is>
      </c>
      <c r="M92" s="33" t="inlineStr">
        <is>
          <t>¿Qué distritos son más ricos o más pobres? (Wiki 1.7)</t>
        </is>
      </c>
    </row>
    <row r="93" ht="15.75" customHeight="1" s="24">
      <c r="A93" s="33" t="inlineStr">
        <is>
          <t>F20</t>
        </is>
      </c>
      <c r="B93" s="33" t="inlineStr">
        <is>
          <t>public/data/atlas_zonas.json</t>
        </is>
      </c>
      <c r="C93" s="33" t="inlineStr">
        <is>
          <t>distritos[].ingreso_mediano_hogar_econ_activo_hkd_2021</t>
        </is>
      </c>
      <c r="D93" s="33" t="inlineStr">
        <is>
          <t>ma_econhh</t>
        </is>
      </c>
      <c r="E93" s="33" t="inlineStr">
        <is>
          <t>Ingreso mensual mediano de hogares con al menos un miembro económicamente activo (2021).</t>
        </is>
      </c>
      <c r="F93" s="33" t="inlineStr">
        <is>
          <t>Entero</t>
        </is>
      </c>
      <c r="G93" s="33" t="inlineStr">
        <is>
          <t>HK$ por mes</t>
        </is>
      </c>
      <c r="H93" s="33" t="inlineStr">
        <is>
          <t>57350</t>
        </is>
      </c>
      <c r="I93" s="33" t="inlineStr">
        <is>
          <t>No</t>
        </is>
      </c>
      <c r="J93" s="33" t="inlineStr">
        <is>
          <t>28.540 a 60.070</t>
        </is>
      </c>
      <c r="K93" s="33" t="inlineStr">
        <is>
          <t>Pública</t>
        </is>
      </c>
      <c r="L93" s="33" t="inlineStr">
        <is>
          <t>Copiado de curated/economia/distritos_economia.csv (unión por codigo). Origen: Renombrado.</t>
        </is>
      </c>
      <c r="M93" s="33" t="inlineStr">
        <is>
          <t>¿Cómo cambia la brecha de ingreso al excluir hogares sin trabajadores? (Wiki 1.7)</t>
        </is>
      </c>
    </row>
    <row r="94" ht="15.75" customHeight="1" s="24">
      <c r="A94" s="33" t="inlineStr">
        <is>
          <t>F20</t>
        </is>
      </c>
      <c r="B94" s="33" t="inlineStr">
        <is>
          <t>public/data/atlas_zonas.json</t>
        </is>
      </c>
      <c r="C94" s="33" t="inlineStr">
        <is>
          <t>distritos[].ingreso_mediano_mensual_empleo_hkd_2021</t>
        </is>
      </c>
      <c r="D94" s="33" t="inlineStr">
        <is>
          <t>t_mmearn</t>
        </is>
      </c>
      <c r="E94" s="33" t="inlineStr">
        <is>
          <t>Ingreso mensual mediano por empleo principal de la población ocupada (2021).</t>
        </is>
      </c>
      <c r="F94" s="33" t="inlineStr">
        <is>
          <t>Entero</t>
        </is>
      </c>
      <c r="G94" s="33" t="inlineStr">
        <is>
          <t>HK$ por mes</t>
        </is>
      </c>
      <c r="H94" s="33" t="inlineStr">
        <is>
          <t>21250</t>
        </is>
      </c>
      <c r="I94" s="33" t="inlineStr">
        <is>
          <t>No</t>
        </is>
      </c>
      <c r="J94" s="33" t="inlineStr">
        <is>
          <t>16.000 a 21.250</t>
        </is>
      </c>
      <c r="K94" s="33" t="inlineStr">
        <is>
          <t>Pública</t>
        </is>
      </c>
      <c r="L94" s="33" t="inlineStr">
        <is>
          <t>Copiado de curated/economia/distritos_economia.csv (unión por codigo). Origen: Renombrado.</t>
        </is>
      </c>
      <c r="M94" s="33" t="inlineStr">
        <is>
          <t>¿Cuánto gana un trabajador típico de cada distrito? (Wiki 1.7)</t>
        </is>
      </c>
    </row>
    <row r="95" ht="15.75" customHeight="1" s="24">
      <c r="A95" s="33" t="inlineStr">
        <is>
          <t>F20</t>
        </is>
      </c>
      <c r="B95" s="33" t="inlineStr">
        <is>
          <t>public/data/atlas_zonas.json</t>
        </is>
      </c>
      <c r="C95" s="33" t="inlineStr">
        <is>
          <t>distritos[].tasa_participacion_laboral_pct_2021</t>
        </is>
      </c>
      <c r="D95" s="33" t="inlineStr">
        <is>
          <t>lfpr_t</t>
        </is>
      </c>
      <c r="E95" s="33" t="inlineStr">
        <is>
          <t>Porcentaje de la población de 15+ que trabaja o busca trabajo (2021).</t>
        </is>
      </c>
      <c r="F95" s="33" t="inlineStr">
        <is>
          <t>Decimal</t>
        </is>
      </c>
      <c r="G95" s="33" t="inlineStr">
        <is>
          <t>%</t>
        </is>
      </c>
      <c r="H95" s="33" t="inlineStr">
        <is>
          <t>65.3</t>
        </is>
      </c>
      <c r="I95" s="33" t="inlineStr">
        <is>
          <t>No</t>
        </is>
      </c>
      <c r="J95" s="33" t="inlineStr">
        <is>
          <t>56,4 a 65,3</t>
        </is>
      </c>
      <c r="K95" s="33" t="inlineStr">
        <is>
          <t>Pública</t>
        </is>
      </c>
      <c r="L95" s="33" t="inlineStr">
        <is>
          <t>Copiado de curated/economia/distritos_economia.csv (unión por codigo). Origen: Renombrado.</t>
        </is>
      </c>
      <c r="M95" s="33" t="inlineStr">
        <is>
          <t>¿Qué tan activa es la población en el mercado laboral?</t>
        </is>
      </c>
    </row>
    <row r="96" ht="15.75" customHeight="1" s="24">
      <c r="A96" s="33" t="inlineStr">
        <is>
          <t>F20</t>
        </is>
      </c>
      <c r="B96" s="33" t="inlineStr">
        <is>
          <t>public/data/atlas_zonas.json</t>
        </is>
      </c>
      <c r="C96" s="33" t="inlineStr">
        <is>
          <t>distritos[].fuerza_laboral_2021</t>
        </is>
      </c>
      <c r="D96" s="33" t="inlineStr">
        <is>
          <t>t_lf</t>
        </is>
      </c>
      <c r="E96" s="33" t="inlineStr">
        <is>
          <t>Personas en la fuerza laboral (ocupadas + desocupadas) en 2021.</t>
        </is>
      </c>
      <c r="F96" s="33" t="inlineStr">
        <is>
          <t>Entero</t>
        </is>
      </c>
      <c r="G96" s="33" t="inlineStr">
        <is>
          <t>personas</t>
        </is>
      </c>
      <c r="H96" s="33" t="inlineStr">
        <is>
          <t>138216</t>
        </is>
      </c>
      <c r="I96" s="33" t="inlineStr">
        <is>
          <t>No</t>
        </is>
      </c>
      <c r="J96" s="33" t="inlineStr">
        <is>
          <t>95.914 a 363.268</t>
        </is>
      </c>
      <c r="K96" s="33" t="inlineStr">
        <is>
          <t>Pública</t>
        </is>
      </c>
      <c r="L96" s="33" t="inlineStr">
        <is>
          <t>Copiado de curated/economia/distritos_economia.csv (unión por codigo). Origen: Renombrado.</t>
        </is>
      </c>
      <c r="M96" s="33" t="inlineStr">
        <is>
          <t>¿Cuánta fuerza laboral tiene cada distrito?</t>
        </is>
      </c>
    </row>
    <row r="97" ht="15.75" customHeight="1" s="24">
      <c r="A97" s="33" t="inlineStr">
        <is>
          <t>F20</t>
        </is>
      </c>
      <c r="B97" s="33" t="inlineStr">
        <is>
          <t>public/data/atlas_zonas.json</t>
        </is>
      </c>
      <c r="C97" s="33" t="inlineStr">
        <is>
          <t>distritos[].poblacion_ocupada_2021</t>
        </is>
      </c>
      <c r="D97" s="33" t="inlineStr">
        <is>
          <t>t_wp</t>
        </is>
      </c>
      <c r="E97" s="33" t="inlineStr">
        <is>
          <t>Personas ocupadas residentes en el distrito en 2021.</t>
        </is>
      </c>
      <c r="F97" s="33" t="inlineStr">
        <is>
          <t>Entero</t>
        </is>
      </c>
      <c r="G97" s="33" t="inlineStr">
        <is>
          <t>personas</t>
        </is>
      </c>
      <c r="H97" s="33" t="inlineStr">
        <is>
          <t>132881</t>
        </is>
      </c>
      <c r="I97" s="33" t="inlineStr">
        <is>
          <t>No</t>
        </is>
      </c>
      <c r="J97" s="33" t="inlineStr">
        <is>
          <t>92.238 a 340.605</t>
        </is>
      </c>
      <c r="K97" s="33" t="inlineStr">
        <is>
          <t>Pública</t>
        </is>
      </c>
      <c r="L97" s="33" t="inlineStr">
        <is>
          <t>Copiado de curated/economia/distritos_economia.csv (unión por codigo). Origen: Renombrado.</t>
        </is>
      </c>
      <c r="M97" s="33" t="inlineStr">
        <is>
          <t>¿Cuántos trabajadores residen en cada distrito?</t>
        </is>
      </c>
    </row>
    <row r="98" ht="15.75" customHeight="1" s="24">
      <c r="A98" s="33" t="inlineStr">
        <is>
          <t>F20</t>
        </is>
      </c>
      <c r="B98" s="33" t="inlineStr">
        <is>
          <t>public/data/atlas_zonas.json</t>
        </is>
      </c>
      <c r="C98" s="33" t="inlineStr">
        <is>
          <t>distritos[].tasa_ocupacion_sobre_fuerza_laboral_pct</t>
        </is>
      </c>
      <c r="D98" s="33" t="inlineStr">
        <is>
          <t>(calculado)</t>
        </is>
      </c>
      <c r="E98" s="33" t="inlineStr">
        <is>
          <t>Porcentaje de la fuerza laboral que está ocupada (100 − desempleo aproximado).</t>
        </is>
      </c>
      <c r="F98" s="33" t="inlineStr">
        <is>
          <t>Decimal</t>
        </is>
      </c>
      <c r="G98" s="33" t="inlineStr">
        <is>
          <t>%</t>
        </is>
      </c>
      <c r="H98" s="33" t="inlineStr">
        <is>
          <t>96.14</t>
        </is>
      </c>
      <c r="I98" s="33" t="inlineStr">
        <is>
          <t>No</t>
        </is>
      </c>
      <c r="J98" s="33" t="inlineStr">
        <is>
          <t>91,68 a 96,17</t>
        </is>
      </c>
      <c r="K98" s="33" t="inlineStr">
        <is>
          <t>Pública</t>
        </is>
      </c>
      <c r="L98" s="33" t="inlineStr">
        <is>
          <t>Copiado de curated/economia/distritos_economia.csv (unión por codigo). Origen: 100 × t_wp / t_lf.</t>
        </is>
      </c>
      <c r="M98" s="33" t="inlineStr">
        <is>
          <t>¿Dónde es mayor el desempleo relativo?</t>
        </is>
      </c>
    </row>
    <row r="99" ht="15.75" customHeight="1" s="24">
      <c r="A99" s="33" t="inlineStr">
        <is>
          <t>F21</t>
        </is>
      </c>
      <c r="B99" s="33" t="inlineStr">
        <is>
          <t>public/data/atlas_zonas.json</t>
        </is>
      </c>
      <c r="C99" s="33" t="inlineStr">
        <is>
          <t>distritos[].ingreso_mediano_hogar_hkd_2025</t>
        </is>
      </c>
      <c r="D99" s="33" t="inlineStr">
        <is>
          <t>ma_hh (year=2025)</t>
        </is>
      </c>
      <c r="E99" s="33" t="inlineStr">
        <is>
          <t>Ingreso mensual mediano de los hogares domésticos en 2025.</t>
        </is>
      </c>
      <c r="F99" s="33" t="inlineStr">
        <is>
          <t>Entero</t>
        </is>
      </c>
      <c r="G99" s="33" t="inlineStr">
        <is>
          <t>HK$ por mes</t>
        </is>
      </c>
      <c r="H99" s="33" t="inlineStr">
        <is>
          <t>45000</t>
        </is>
      </c>
      <c r="I99" s="33" t="inlineStr">
        <is>
          <t>No</t>
        </is>
      </c>
      <c r="J99" s="33" t="inlineStr">
        <is>
          <t>24.900 a 45.000</t>
        </is>
      </c>
      <c r="K99" s="33" t="inlineStr">
        <is>
          <t>Pública</t>
        </is>
      </c>
      <c r="L99" s="33" t="inlineStr">
        <is>
          <t>Copiado de curated/economia/distritos_economia.csv (unión por codigo). Origen: Filtrado al último año del panel GHS.</t>
        </is>
      </c>
      <c r="M99" s="33" t="inlineStr">
        <is>
          <t>¿Qué distritos tienen menor ingreso hoy? (Wiki 1.7)</t>
        </is>
      </c>
    </row>
    <row r="100" ht="15.75" customHeight="1" s="24">
      <c r="A100" s="33" t="inlineStr">
        <is>
          <t>F21</t>
        </is>
      </c>
      <c r="B100" s="33" t="inlineStr">
        <is>
          <t>public/data/atlas_zonas.json</t>
        </is>
      </c>
      <c r="C100" s="33" t="inlineStr">
        <is>
          <t>distritos[].tasa_participacion_laboral_pct_2025</t>
        </is>
      </c>
      <c r="D100" s="33" t="inlineStr">
        <is>
          <t>t_lfpr (year=2025)</t>
        </is>
      </c>
      <c r="E100" s="33" t="inlineStr">
        <is>
          <t>Tasa de participación laboral en 2025.</t>
        </is>
      </c>
      <c r="F100" s="33" t="inlineStr">
        <is>
          <t>Decimal</t>
        </is>
      </c>
      <c r="G100" s="33" t="inlineStr">
        <is>
          <t>%</t>
        </is>
      </c>
      <c r="H100" s="33" t="inlineStr">
        <is>
          <t>60.1</t>
        </is>
      </c>
      <c r="I100" s="33" t="inlineStr">
        <is>
          <t>No</t>
        </is>
      </c>
      <c r="J100" s="33" t="inlineStr">
        <is>
          <t>52,7 a 62,7</t>
        </is>
      </c>
      <c r="K100" s="33" t="inlineStr">
        <is>
          <t>Pública</t>
        </is>
      </c>
      <c r="L100" s="33" t="inlineStr">
        <is>
          <t>Copiado de curated/economia/distritos_economia.csv (unión por codigo). Origen: Filtrado al último año del panel GHS.</t>
        </is>
      </c>
      <c r="M100" s="33" t="inlineStr">
        <is>
          <t>¿Cómo está hoy la participación laboral por distrito?</t>
        </is>
      </c>
    </row>
    <row r="101" ht="15.75" customHeight="1" s="24">
      <c r="A101" s="33" t="inlineStr">
        <is>
          <t>F21</t>
        </is>
      </c>
      <c r="B101" s="33" t="inlineStr">
        <is>
          <t>public/data/atlas_zonas.json</t>
        </is>
      </c>
      <c r="C101" s="33" t="inlineStr">
        <is>
          <t>distritos[].var_ingreso_2016_2025_pct</t>
        </is>
      </c>
      <c r="D101" s="33" t="inlineStr">
        <is>
          <t>(calculado de ma_hh)</t>
        </is>
      </c>
      <c r="E101" s="33" t="inlineStr">
        <is>
          <t>Variación porcentual nominal del ingreso mediano del hogar entre 2016 y 2025.</t>
        </is>
      </c>
      <c r="F101" s="33" t="inlineStr">
        <is>
          <t>Decimal</t>
        </is>
      </c>
      <c r="G101" s="33" t="inlineStr">
        <is>
          <t>%</t>
        </is>
      </c>
      <c r="H101" s="33" t="inlineStr">
        <is>
          <t>13.92</t>
        </is>
      </c>
      <c r="I101" s="33" t="inlineStr">
        <is>
          <t>No</t>
        </is>
      </c>
      <c r="J101" s="33" t="inlineStr">
        <is>
          <t>6,71 a 31,58</t>
        </is>
      </c>
      <c r="K101" s="33" t="inlineStr">
        <is>
          <t>Pública</t>
        </is>
      </c>
      <c r="L101" s="33" t="inlineStr">
        <is>
          <t>Copiado de curated/economia/distritos_economia.csv (unión por codigo). Origen: 100 × (ma_hh 2025 / ma_hh 2016 − 1); no ajustado por inflación.</t>
        </is>
      </c>
      <c r="M101" s="33" t="inlineStr">
        <is>
          <t>¿Dónde creció más el ingreso? (Wiki 1.7)</t>
        </is>
      </c>
    </row>
    <row r="102" ht="15.75" customHeight="1" s="24">
      <c r="A102" s="33" t="inlineStr">
        <is>
          <t>F21</t>
        </is>
      </c>
      <c r="B102" s="33" t="inlineStr">
        <is>
          <t>public/data/atlas_zonas.json</t>
        </is>
      </c>
      <c r="C102" s="33" t="inlineStr">
        <is>
          <t>distritos[].indice_ingreso_vs_mediana_distritos</t>
        </is>
      </c>
      <c r="D102" s="33" t="inlineStr">
        <is>
          <t>(calculado)</t>
        </is>
      </c>
      <c r="E102" s="33" t="inlineStr">
        <is>
          <t>Ingreso mediano del hogar 2025 relativo a la mediana de los 18 distritos (=100).</t>
        </is>
      </c>
      <c r="F102" s="33" t="inlineStr">
        <is>
          <t>Decimal</t>
        </is>
      </c>
      <c r="G102" s="33" t="inlineStr">
        <is>
          <t>índice (mediana = 100)</t>
        </is>
      </c>
      <c r="H102" s="33" t="inlineStr">
        <is>
          <t>145.2</t>
        </is>
      </c>
      <c r="I102" s="33" t="inlineStr">
        <is>
          <t>No</t>
        </is>
      </c>
      <c r="J102" s="33" t="inlineStr">
        <is>
          <t>80,3 a 145,2</t>
        </is>
      </c>
      <c r="K102" s="33" t="inlineStr">
        <is>
          <t>Pública</t>
        </is>
      </c>
      <c r="L102" s="33" t="inlineStr">
        <is>
          <t>Copiado de curated/economia/distritos_economia.csv (unión por codigo). Origen: 100 × ingreso 2025 / mediana de los 18 valores.</t>
        </is>
      </c>
      <c r="M102" s="33" t="inlineStr">
        <is>
          <t>¿Qué tan por encima o debajo del típico está cada distrito?</t>
        </is>
      </c>
    </row>
    <row r="103" ht="15.75" customHeight="1" s="24">
      <c r="A103" s="33" t="inlineStr">
        <is>
          <t>F19, F20, F21, F22, F23, F24, F25, F27, F32</t>
        </is>
      </c>
      <c r="B103" s="33" t="inlineStr">
        <is>
          <t>public/data/atlas_zonas.json</t>
        </is>
      </c>
      <c r="C103" s="33" t="inlineStr">
        <is>
          <t>distritos[].paradas_transporte</t>
        </is>
      </c>
      <c r="D103" s="33" t="inlineStr">
        <is>
          <t>(calculado)</t>
        </is>
      </c>
      <c r="E103" s="33" t="inlineStr">
        <is>
          <t>Número de paradas de transporte público con rutas activas.</t>
        </is>
      </c>
      <c r="F103" s="33" t="inlineStr">
        <is>
          <t>Entero</t>
        </is>
      </c>
      <c r="G103" s="33" t="inlineStr">
        <is>
          <t>paradas</t>
        </is>
      </c>
      <c r="H103" s="33" t="inlineStr">
        <is>
          <t>676</t>
        </is>
      </c>
      <c r="I103" s="33" t="inlineStr">
        <is>
          <t>No</t>
        </is>
      </c>
      <c r="J103" s="33" t="inlineStr">
        <is>
          <t>461 a 1.446</t>
        </is>
      </c>
      <c r="K103" s="33" t="inlineStr">
        <is>
          <t>Pública</t>
        </is>
      </c>
      <c r="L103" s="33" t="inlineStr">
        <is>
          <t>Conteo de paradas por código de distrito o DCCA.</t>
        </is>
      </c>
      <c r="M103" s="33" t="inlineStr">
        <is>
          <t>¿Qué zonas tienen más oferta de transporte?</t>
        </is>
      </c>
    </row>
    <row r="104" ht="15.75" customHeight="1" s="24">
      <c r="A104" s="33" t="inlineStr">
        <is>
          <t>F23</t>
        </is>
      </c>
      <c r="B104" s="33" t="inlineStr">
        <is>
          <t>public/data/atlas_zonas.json</t>
        </is>
      </c>
      <c r="C104" s="33" t="inlineStr">
        <is>
          <t>distritos[].paradas_bus</t>
        </is>
      </c>
      <c r="D104" s="33" t="inlineStr">
        <is>
          <t>(calculado)</t>
        </is>
      </c>
      <c r="E104" s="33" t="inlineStr">
        <is>
          <t>Paradas servidas por bus.</t>
        </is>
      </c>
      <c r="F104" s="33" t="inlineStr">
        <is>
          <t>Entero</t>
        </is>
      </c>
      <c r="G104" s="33" t="inlineStr">
        <is>
          <t>paradas</t>
        </is>
      </c>
      <c r="H104" s="33" t="inlineStr">
        <is>
          <t>664</t>
        </is>
      </c>
      <c r="I104" s="33" t="inlineStr">
        <is>
          <t>No</t>
        </is>
      </c>
      <c r="J104" s="33" t="inlineStr">
        <is>
          <t>448 a 1.416</t>
        </is>
      </c>
      <c r="K104" s="33" t="inlineStr">
        <is>
          <t>Pública</t>
        </is>
      </c>
      <c r="L104" s="33" t="inlineStr">
        <is>
          <t>Copiado de curated/infraestructura/distritos_infraestructura.csv (unión por codigo). Origen: Conteo de paradas cuyo campo modos contiene 'bus'.</t>
        </is>
      </c>
      <c r="M104" s="33" t="inlineStr">
        <is>
          <t>¿Dónde hay más cobertura de bus?</t>
        </is>
      </c>
    </row>
    <row r="105" ht="15.75" customHeight="1" s="24">
      <c r="A105" s="33" t="inlineStr">
        <is>
          <t>F23</t>
        </is>
      </c>
      <c r="B105" s="33" t="inlineStr">
        <is>
          <t>public/data/atlas_zonas.json</t>
        </is>
      </c>
      <c r="C105" s="33" t="inlineStr">
        <is>
          <t>distritos[].paradas_minibus</t>
        </is>
      </c>
      <c r="D105" s="33" t="inlineStr">
        <is>
          <t>(calculado)</t>
        </is>
      </c>
      <c r="E105" s="33" t="inlineStr">
        <is>
          <t>Paradas servidas por minibús verde (GMB).</t>
        </is>
      </c>
      <c r="F105" s="33" t="inlineStr">
        <is>
          <t>Entero</t>
        </is>
      </c>
      <c r="G105" s="33" t="inlineStr">
        <is>
          <t>paradas</t>
        </is>
      </c>
      <c r="H105" s="33" t="inlineStr">
        <is>
          <t>198</t>
        </is>
      </c>
      <c r="I105" s="33" t="inlineStr">
        <is>
          <t>No</t>
        </is>
      </c>
      <c r="J105" s="33" t="inlineStr">
        <is>
          <t>18 a 580</t>
        </is>
      </c>
      <c r="K105" s="33" t="inlineStr">
        <is>
          <t>Pública</t>
        </is>
      </c>
      <c r="L105" s="33" t="inlineStr">
        <is>
          <t>Copiado de curated/infraestructura/distritos_infraestructura.csv (unión por codigo). Origen: Conteo de paradas con modo 'minibus'.</t>
        </is>
      </c>
      <c r="M105" s="33" t="inlineStr">
        <is>
          <t>¿Dónde depende la gente del minibús?</t>
        </is>
      </c>
    </row>
    <row r="106" ht="15.75" customHeight="1" s="24">
      <c r="A106" s="33" t="inlineStr">
        <is>
          <t>F23</t>
        </is>
      </c>
      <c r="B106" s="33" t="inlineStr">
        <is>
          <t>public/data/atlas_zonas.json</t>
        </is>
      </c>
      <c r="C106" s="33" t="inlineStr">
        <is>
          <t>distritos[].paradas_metro_mtr</t>
        </is>
      </c>
      <c r="D106" s="33" t="inlineStr">
        <is>
          <t>(calculado)</t>
        </is>
      </c>
      <c r="E106" s="33" t="inlineStr">
        <is>
          <t>Estaciones del MTR (ferrocarril pesado).</t>
        </is>
      </c>
      <c r="F106" s="33" t="inlineStr">
        <is>
          <t>Entero</t>
        </is>
      </c>
      <c r="G106" s="33" t="inlineStr">
        <is>
          <t>estaciones</t>
        </is>
      </c>
      <c r="H106" s="33" t="inlineStr">
        <is>
          <t>7</t>
        </is>
      </c>
      <c r="I106" s="33" t="inlineStr">
        <is>
          <t>No</t>
        </is>
      </c>
      <c r="J106" s="33" t="inlineStr">
        <is>
          <t>2 a 13</t>
        </is>
      </c>
      <c r="K106" s="33" t="inlineStr">
        <is>
          <t>Pública</t>
        </is>
      </c>
      <c r="L106" s="33" t="inlineStr">
        <is>
          <t>Copiado de curated/infraestructura/distritos_infraestructura.csv (unión por codigo). Origen: Conteo de paradas con modo 'metro_mtr'.</t>
        </is>
      </c>
      <c r="M106" s="33" t="inlineStr">
        <is>
          <t>¿Qué distritos tienen más acceso al metro?</t>
        </is>
      </c>
    </row>
    <row r="107" ht="15.75" customHeight="1" s="24">
      <c r="A107" s="33" t="inlineStr">
        <is>
          <t>F23</t>
        </is>
      </c>
      <c r="B107" s="33" t="inlineStr">
        <is>
          <t>public/data/atlas_zonas.json</t>
        </is>
      </c>
      <c r="C107" s="33" t="inlineStr">
        <is>
          <t>distritos[].paradas_tren_ligero</t>
        </is>
      </c>
      <c r="D107" s="33" t="inlineStr">
        <is>
          <t>(calculado)</t>
        </is>
      </c>
      <c r="E107" s="33" t="inlineStr">
        <is>
          <t>Paradas del tren ligero (Light Rail).</t>
        </is>
      </c>
      <c r="F107" s="33" t="inlineStr">
        <is>
          <t>Entero</t>
        </is>
      </c>
      <c r="G107" s="33" t="inlineStr">
        <is>
          <t>paradas</t>
        </is>
      </c>
      <c r="H107" s="33" t="inlineStr">
        <is>
          <t>0</t>
        </is>
      </c>
      <c r="I107" s="33" t="inlineStr">
        <is>
          <t>No</t>
        </is>
      </c>
      <c r="J107" s="33" t="inlineStr">
        <is>
          <t>0 a 55</t>
        </is>
      </c>
      <c r="K107" s="33" t="inlineStr">
        <is>
          <t>Pública</t>
        </is>
      </c>
      <c r="L107" s="33" t="inlineStr">
        <is>
          <t>Copiado de curated/infraestructura/distritos_infraestructura.csv (unión por codigo). Origen: Conteo de paradas con modo 'tren_ligero'.</t>
        </is>
      </c>
      <c r="M107" s="33" t="inlineStr">
        <is>
          <t>¿Dónde opera el tren ligero?</t>
        </is>
      </c>
    </row>
    <row r="108" ht="15.75" customHeight="1" s="24">
      <c r="A108" s="33" t="inlineStr">
        <is>
          <t>F23</t>
        </is>
      </c>
      <c r="B108" s="33" t="inlineStr">
        <is>
          <t>public/data/atlas_zonas.json</t>
        </is>
      </c>
      <c r="C108" s="33" t="inlineStr">
        <is>
          <t>distritos[].paradas_ferry</t>
        </is>
      </c>
      <c r="D108" s="33" t="inlineStr">
        <is>
          <t>(calculado)</t>
        </is>
      </c>
      <c r="E108" s="33" t="inlineStr">
        <is>
          <t>Muelles servidos por ferris.</t>
        </is>
      </c>
      <c r="F108" s="33" t="inlineStr">
        <is>
          <t>Entero</t>
        </is>
      </c>
      <c r="G108" s="33" t="inlineStr">
        <is>
          <t>muelles</t>
        </is>
      </c>
      <c r="H108" s="33" t="inlineStr">
        <is>
          <t>5</t>
        </is>
      </c>
      <c r="I108" s="33" t="inlineStr">
        <is>
          <t>No</t>
        </is>
      </c>
      <c r="J108" s="33" t="inlineStr">
        <is>
          <t>0 a 10</t>
        </is>
      </c>
      <c r="K108" s="33" t="inlineStr">
        <is>
          <t>Pública</t>
        </is>
      </c>
      <c r="L108" s="33" t="inlineStr">
        <is>
          <t>Copiado de curated/infraestructura/distritos_infraestructura.csv (unión por codigo). Origen: Conteo de paradas con modo 'ferry'.</t>
        </is>
      </c>
      <c r="M108" s="33" t="inlineStr">
        <is>
          <t>¿Qué zonas dependen del ferry?</t>
        </is>
      </c>
    </row>
    <row r="109" ht="15.75" customHeight="1" s="24">
      <c r="A109" s="33" t="inlineStr">
        <is>
          <t>F24</t>
        </is>
      </c>
      <c r="B109" s="33" t="inlineStr">
        <is>
          <t>public/data/atlas_zonas.json</t>
        </is>
      </c>
      <c r="C109" s="33" t="inlineStr">
        <is>
          <t>distritos[].hospitales_urgencias</t>
        </is>
      </c>
      <c r="D109" s="33" t="inlineStr">
        <is>
          <t>(calculado)</t>
        </is>
      </c>
      <c r="E109" s="33" t="inlineStr">
        <is>
          <t>Hospitales públicos con urgencias ubicados en el distrito.</t>
        </is>
      </c>
      <c r="F109" s="33" t="inlineStr">
        <is>
          <t>Entero</t>
        </is>
      </c>
      <c r="G109" s="33" t="inlineStr">
        <is>
          <t>hospitales</t>
        </is>
      </c>
      <c r="H109" s="33" t="inlineStr">
        <is>
          <t>0</t>
        </is>
      </c>
      <c r="I109" s="33" t="inlineStr">
        <is>
          <t>No</t>
        </is>
      </c>
      <c r="J109" s="33" t="inlineStr">
        <is>
          <t>0 a 2</t>
        </is>
      </c>
      <c r="K109" s="33" t="inlineStr">
        <is>
          <t>Pública</t>
        </is>
      </c>
      <c r="L109" s="33" t="inlineStr">
        <is>
          <t>Copiado de curated/infraestructura/distritos_infraestructura.csv (unión por codigo). Origen: Conteo tras unión espacial de hospitales a distritos.</t>
        </is>
      </c>
      <c r="M109" s="33" t="inlineStr">
        <is>
          <t>¿Cuántas urgencias hay en cada distrito? (Wiki 1.8)</t>
        </is>
      </c>
    </row>
    <row r="110" ht="15.75" customHeight="1" s="24">
      <c r="A110" s="33" t="inlineStr">
        <is>
          <t>F23</t>
        </is>
      </c>
      <c r="B110" s="33" t="inlineStr">
        <is>
          <t>public/data/atlas_zonas.json</t>
        </is>
      </c>
      <c r="C110" s="33" t="inlineStr">
        <is>
          <t>distritos[].rutas_distintas</t>
        </is>
      </c>
      <c r="D110" s="33" t="inlineStr">
        <is>
          <t>(calculado)</t>
        </is>
      </c>
      <c r="E110" s="33" t="inlineStr">
        <is>
          <t>Número de rutas distintas que tocan al menos una parada del distrito.</t>
        </is>
      </c>
      <c r="F110" s="33" t="inlineStr">
        <is>
          <t>Entero</t>
        </is>
      </c>
      <c r="G110" s="33" t="inlineStr">
        <is>
          <t>rutas</t>
        </is>
      </c>
      <c r="H110" s="33" t="inlineStr">
        <is>
          <t>333</t>
        </is>
      </c>
      <c r="I110" s="33" t="inlineStr">
        <is>
          <t>No</t>
        </is>
      </c>
      <c r="J110" s="33" t="inlineStr">
        <is>
          <t>135 a 492</t>
        </is>
      </c>
      <c r="K110" s="33" t="inlineStr">
        <is>
          <t>Pública</t>
        </is>
      </c>
      <c r="L110" s="33" t="inlineStr">
        <is>
          <t>Copiado de curated/infraestructura/distritos_infraestructura.csv (unión por codigo). Origen: Conteo de pares operador:ruta únicos por distrito.</t>
        </is>
      </c>
      <c r="M110" s="33" t="inlineStr">
        <is>
          <t>¿Qué tan conectado está el distrito con el resto de la ciudad?</t>
        </is>
      </c>
    </row>
    <row r="111" ht="15.75" customHeight="1" s="24">
      <c r="A111" s="33" t="inlineStr">
        <is>
          <t>F23, F22</t>
        </is>
      </c>
      <c r="B111" s="33" t="inlineStr">
        <is>
          <t>public/data/atlas_zonas.json</t>
        </is>
      </c>
      <c r="C111" s="33" t="inlineStr">
        <is>
          <t>distritos[].paradas_por_km2</t>
        </is>
      </c>
      <c r="D111" s="33" t="inlineStr">
        <is>
          <t>(calculado)</t>
        </is>
      </c>
      <c r="E111" s="33" t="inlineStr">
        <is>
          <t>Paradas de transporte por km² de tierra.</t>
        </is>
      </c>
      <c r="F111" s="33" t="inlineStr">
        <is>
          <t>Decimal</t>
        </is>
      </c>
      <c r="G111" s="33" t="inlineStr">
        <is>
          <t>paradas/km²</t>
        </is>
      </c>
      <c r="H111" s="33" t="inlineStr">
        <is>
          <t>53.86</t>
        </is>
      </c>
      <c r="I111" s="33" t="inlineStr">
        <is>
          <t>No</t>
        </is>
      </c>
      <c r="J111" s="33" t="inlineStr">
        <is>
          <t>2,52 a 122,8</t>
        </is>
      </c>
      <c r="K111" s="33" t="inlineStr">
        <is>
          <t>Pública</t>
        </is>
      </c>
      <c r="L111" s="33" t="inlineStr">
        <is>
          <t>Copiado de curated/infraestructura/distritos_infraestructura.csv (unión por codigo). Origen: paradas_transporte / area_km2_oficial.</t>
        </is>
      </c>
      <c r="M111" s="33" t="inlineStr">
        <is>
          <t>¿Dónde es más densa la red de transporte?</t>
        </is>
      </c>
    </row>
    <row r="112" ht="15.75" customHeight="1" s="24">
      <c r="A112" s="33" t="inlineStr">
        <is>
          <t>F23, F20</t>
        </is>
      </c>
      <c r="B112" s="33" t="inlineStr">
        <is>
          <t>public/data/atlas_zonas.json</t>
        </is>
      </c>
      <c r="C112" s="33" t="inlineStr">
        <is>
          <t>distritos[].paradas_por_10k_hab</t>
        </is>
      </c>
      <c r="D112" s="33" t="inlineStr">
        <is>
          <t>(calculado)</t>
        </is>
      </c>
      <c r="E112" s="33" t="inlineStr">
        <is>
          <t>Paradas de transporte por cada 10.000 habitantes.</t>
        </is>
      </c>
      <c r="F112" s="33" t="inlineStr">
        <is>
          <t>Decimal</t>
        </is>
      </c>
      <c r="G112" s="33" t="inlineStr">
        <is>
          <t>paradas por 10.000 hab</t>
        </is>
      </c>
      <c r="H112" s="33" t="inlineStr">
        <is>
          <t>28.65</t>
        </is>
      </c>
      <c r="I112" s="33" t="inlineStr">
        <is>
          <t>No</t>
        </is>
      </c>
      <c r="J112" s="33" t="inlineStr">
        <is>
          <t>15,41 a 37,61</t>
        </is>
      </c>
      <c r="K112" s="33" t="inlineStr">
        <is>
          <t>Pública</t>
        </is>
      </c>
      <c r="L112" s="33" t="inlineStr">
        <is>
          <t>Copiado de curated/infraestructura/distritos_infraestructura.csv (unión por codigo). Origen: 10.000 × paradas_transporte / poblacion_2021.</t>
        </is>
      </c>
      <c r="M112" s="33" t="inlineStr">
        <is>
          <t>¿Qué distritos tienen menos transporte por habitante?</t>
        </is>
      </c>
    </row>
    <row r="113" ht="15.75" customHeight="1" s="24">
      <c r="A113" s="33" t="inlineStr">
        <is>
          <t>F24, F20</t>
        </is>
      </c>
      <c r="B113" s="33" t="inlineStr">
        <is>
          <t>public/data/atlas_zonas.json</t>
        </is>
      </c>
      <c r="C113" s="33" t="inlineStr">
        <is>
          <t>distritos[].hab_por_hospital_urgencias</t>
        </is>
      </c>
      <c r="D113" s="33" t="inlineStr">
        <is>
          <t>(calculado)</t>
        </is>
      </c>
      <c r="E113" s="33" t="inlineStr">
        <is>
          <t>Habitantes por cada hospital con urgencias dentro del distrito.</t>
        </is>
      </c>
      <c r="F113" s="33" t="inlineStr">
        <is>
          <t>Decimal</t>
        </is>
      </c>
      <c r="G113" s="33" t="inlineStr">
        <is>
          <t>hab/hospital</t>
        </is>
      </c>
      <c r="H113" s="33" t="inlineStr">
        <is>
          <t>166695.0</t>
        </is>
      </c>
      <c r="I113" s="33" t="inlineStr">
        <is>
          <t>Sí</t>
        </is>
      </c>
      <c r="J113" s="33" t="inlineStr">
        <is>
          <t>9,264e+04 a 6,928e+05</t>
        </is>
      </c>
      <c r="K113" s="33" t="inlineStr">
        <is>
          <t>Pública</t>
        </is>
      </c>
      <c r="L113" s="33" t="inlineStr">
        <is>
          <t>Copiado de curated/infraestructura/distritos_infraestructura.csv (unión por codigo). Origen: poblacion_2021 / hospitales_urgencias; vacío si el distrito no tiene ninguno.</t>
        </is>
      </c>
      <c r="M113" s="33" t="inlineStr">
        <is>
          <t>¿Qué distritos están más presionados en urgencias? (Wiki 1.8)</t>
        </is>
      </c>
    </row>
    <row r="114" ht="15.75" customHeight="1" s="24">
      <c r="A114" s="33" t="inlineStr">
        <is>
          <t>F24, F19</t>
        </is>
      </c>
      <c r="B114" s="33" t="inlineStr">
        <is>
          <t>public/data/atlas_zonas.json</t>
        </is>
      </c>
      <c r="C114" s="33" t="inlineStr">
        <is>
          <t>distritos[].dist_media_hospital_km</t>
        </is>
      </c>
      <c r="D114" s="33" t="inlineStr">
        <is>
          <t>(calculado)</t>
        </is>
      </c>
      <c r="E114" s="33" t="inlineStr">
        <is>
          <t>Distancia media de las circunscripciones del distrito a la urgencia más cercana.</t>
        </is>
      </c>
      <c r="F114" s="33" t="inlineStr">
        <is>
          <t>Decimal</t>
        </is>
      </c>
      <c r="G114" s="33" t="inlineStr">
        <is>
          <t>km</t>
        </is>
      </c>
      <c r="H114" s="33" t="inlineStr">
        <is>
          <t>2.23</t>
        </is>
      </c>
      <c r="I114" s="33" t="inlineStr">
        <is>
          <t>No</t>
        </is>
      </c>
      <c r="J114" s="33" t="inlineStr">
        <is>
          <t>0,89 a 3,74</t>
        </is>
      </c>
      <c r="K114" s="33" t="inlineStr">
        <is>
          <t>Pública</t>
        </is>
      </c>
      <c r="L114" s="33" t="inlineStr">
        <is>
          <t>Copiado de curated/infraestructura/distritos_infraestructura.csv (unión por codigo). Origen: Promedio por distrito de distancia_hospital_m / 1000.</t>
        </is>
      </c>
      <c r="M114" s="33" t="inlineStr">
        <is>
          <t>¿Qué distritos tienen peor acceso a urgencias? (Wiki 1.8)</t>
        </is>
      </c>
    </row>
    <row r="115" ht="15.75" customHeight="1" s="24">
      <c r="A115" s="33" t="inlineStr">
        <is>
          <t>F25, F27</t>
        </is>
      </c>
      <c r="B115" s="33" t="inlineStr">
        <is>
          <t>public/data/atlas_zonas.json</t>
        </is>
      </c>
      <c r="C115" s="33" t="inlineStr">
        <is>
          <t>distritos[].estaciones_meteorologicas</t>
        </is>
      </c>
      <c r="D115" s="33" t="inlineStr">
        <is>
          <t>(calculado)</t>
        </is>
      </c>
      <c r="E115" s="33" t="inlineStr">
        <is>
          <t>Estaciones del Observatorio ubicadas en el distrito.</t>
        </is>
      </c>
      <c r="F115" s="33" t="inlineStr">
        <is>
          <t>Entero</t>
        </is>
      </c>
      <c r="G115" s="33" t="inlineStr">
        <is>
          <t>estaciones</t>
        </is>
      </c>
      <c r="H115" s="33" t="inlineStr">
        <is>
          <t>4</t>
        </is>
      </c>
      <c r="I115" s="33" t="inlineStr">
        <is>
          <t>No</t>
        </is>
      </c>
      <c r="J115" s="33" t="inlineStr">
        <is>
          <t>1 a 17</t>
        </is>
      </c>
      <c r="K115" s="33" t="inlineStr">
        <is>
          <t>Pública</t>
        </is>
      </c>
      <c r="L115" s="33" t="inlineStr">
        <is>
          <t>Copiado de curated/sensores/distritos_sensores.csv (unión por codigo). Origen: Conteo tras unión espacial.</t>
        </is>
      </c>
      <c r="M115" s="33" t="inlineStr">
        <is>
          <t>¿Qué tan monitoreado está el clima en cada distrito?</t>
        </is>
      </c>
    </row>
    <row r="116" ht="15.75" customHeight="1" s="24">
      <c r="A116" s="33" t="inlineStr">
        <is>
          <t>F25, F27</t>
        </is>
      </c>
      <c r="B116" s="33" t="inlineStr">
        <is>
          <t>public/data/atlas_zonas.json</t>
        </is>
      </c>
      <c r="C116" s="33" t="inlineStr">
        <is>
          <t>distritos[].estaciones_calidad_aire</t>
        </is>
      </c>
      <c r="D116" s="33" t="inlineStr">
        <is>
          <t>(calculado)</t>
        </is>
      </c>
      <c r="E116" s="33" t="inlineStr">
        <is>
          <t>Estaciones de calidad del aire asignadas al distrito.</t>
        </is>
      </c>
      <c r="F116" s="33" t="inlineStr">
        <is>
          <t>Entero</t>
        </is>
      </c>
      <c r="G116" s="33" t="inlineStr">
        <is>
          <t>estaciones</t>
        </is>
      </c>
      <c r="H116" s="33" t="inlineStr">
        <is>
          <t>2</t>
        </is>
      </c>
      <c r="I116" s="33" t="inlineStr">
        <is>
          <t>No</t>
        </is>
      </c>
      <c r="J116" s="33" t="inlineStr">
        <is>
          <t>0 a 2</t>
        </is>
      </c>
      <c r="K116" s="33" t="inlineStr">
        <is>
          <t>Pública</t>
        </is>
      </c>
      <c r="L116" s="33" t="inlineStr">
        <is>
          <t>Copiado de curated/sensores/distritos_sensores.csv (unión por codigo). Origen: Conteo por distrito asignado.</t>
        </is>
      </c>
      <c r="M116" s="33" t="inlineStr">
        <is>
          <t>¿Qué distritos tienen medición de calidad del aire?</t>
        </is>
      </c>
    </row>
    <row r="117" ht="15.75" customHeight="1" s="24">
      <c r="A117" s="33" t="inlineStr">
        <is>
          <t>F25, F27</t>
        </is>
      </c>
      <c r="B117" s="33" t="inlineStr">
        <is>
          <t>public/data/atlas_zonas.json</t>
        </is>
      </c>
      <c r="C117" s="33" t="inlineStr">
        <is>
          <t>distritos[].aqhi_ultimo</t>
        </is>
      </c>
      <c r="D117" s="33" t="inlineStr">
        <is>
          <t>(calculado de AQHI)</t>
        </is>
      </c>
      <c r="E117" s="33" t="inlineStr">
        <is>
          <t>AQHI promedio de las estaciones generales del distrito en la última captura.</t>
        </is>
      </c>
      <c r="F117" s="33" t="inlineStr">
        <is>
          <t>Decimal</t>
        </is>
      </c>
      <c r="G117" s="33" t="inlineStr">
        <is>
          <t>índice 1–10+</t>
        </is>
      </c>
      <c r="H117" s="33" t="inlineStr">
        <is>
          <t>2.0</t>
        </is>
      </c>
      <c r="I117" s="33" t="inlineStr">
        <is>
          <t>Sí</t>
        </is>
      </c>
      <c r="J117" s="33" t="inlineStr">
        <is>
          <t>2 a 3</t>
        </is>
      </c>
      <c r="K117" s="33" t="inlineStr">
        <is>
          <t>Pública</t>
        </is>
      </c>
      <c r="L117" s="33" t="inlineStr">
        <is>
          <t>Copiado de curated/sensores/distritos_sensores.csv (unión por codigo). Origen: Promedio de estaciones tipo general; vacío si el distrito no tiene estación.</t>
        </is>
      </c>
      <c r="M117" s="33" t="inlineStr">
        <is>
          <t>¿Qué distritos tienen peor aire ahora?</t>
        </is>
      </c>
    </row>
    <row r="118" ht="15.75" customHeight="1" s="24">
      <c r="A118" s="33" t="inlineStr">
        <is>
          <t>F32, F33</t>
        </is>
      </c>
      <c r="B118" s="33" t="inlineStr">
        <is>
          <t>public/data/atlas_zonas.json</t>
        </is>
      </c>
      <c r="C118" s="33" t="inlineStr">
        <is>
          <t>distritos[].menciones_noticias</t>
        </is>
      </c>
      <c r="D118" s="33" t="inlineStr">
        <is>
          <t>(calculado)</t>
        </is>
      </c>
      <c r="E118" s="33" t="inlineStr">
        <is>
          <t>Número de titulares que mencionan el distrito.</t>
        </is>
      </c>
      <c r="F118" s="33" t="inlineStr">
        <is>
          <t>Entero</t>
        </is>
      </c>
      <c r="G118" s="33" t="inlineStr">
        <is>
          <t>titulares</t>
        </is>
      </c>
      <c r="H118" s="33" t="inlineStr">
        <is>
          <t>1</t>
        </is>
      </c>
      <c r="I118" s="33" t="inlineStr">
        <is>
          <t>No</t>
        </is>
      </c>
      <c r="J118" s="33" t="inlineStr">
        <is>
          <t>0 a 5</t>
        </is>
      </c>
      <c r="K118" s="33" t="inlineStr">
        <is>
          <t>Pública</t>
        </is>
      </c>
      <c r="L118" s="33" t="inlineStr">
        <is>
          <t>Copiado de curated/escucha/menciones_por_distrito.csv (unión por codigo). Origen: Conteo de códigos en distritos_mencionados.</t>
        </is>
      </c>
      <c r="M118" s="33" t="inlineStr">
        <is>
          <t>¿Qué distritos concentran la atención mediática?</t>
        </is>
      </c>
    </row>
    <row r="119" ht="15.75" customHeight="1" s="24">
      <c r="A119" s="33" t="inlineStr">
        <is>
          <t>F22</t>
        </is>
      </c>
      <c r="B119" s="33" t="inlineStr">
        <is>
          <t>public/data/atlas_zonas.json</t>
        </is>
      </c>
      <c r="C119" s="33" t="inlineStr">
        <is>
          <t>distritos[].area_km2_oficial</t>
        </is>
      </c>
      <c r="D119" s="33" t="inlineStr">
        <is>
          <t>Area (km²)</t>
        </is>
      </c>
      <c r="E119" s="33" t="inlineStr">
        <is>
          <t>Superficie terrestre oficial del distrito.</t>
        </is>
      </c>
      <c r="F119" s="33" t="inlineStr">
        <is>
          <t>Decimal</t>
        </is>
      </c>
      <c r="G119" s="33" t="inlineStr">
        <is>
          <t>km²</t>
        </is>
      </c>
      <c r="H119" s="33" t="inlineStr">
        <is>
          <t>12.55</t>
        </is>
      </c>
      <c r="I119" s="33" t="inlineStr">
        <is>
          <t>No</t>
        </is>
      </c>
      <c r="J119" s="33" t="inlineStr">
        <is>
          <t>6,99 a 182,7</t>
        </is>
      </c>
      <c r="K119" s="33" t="inlineStr">
        <is>
          <t>Pública</t>
        </is>
      </c>
      <c r="L119" s="33" t="inlineStr">
        <is>
          <t>Copiado de curated/geo/distritos.csv (unión por codigo). Origen: Copiado; unido por nombre inglés del distrito.</t>
        </is>
      </c>
      <c r="M119" s="33" t="inlineStr">
        <is>
          <t>¿Cuál es la densidad real de cada distrito? (Wiki 1.2, 6.5)</t>
        </is>
      </c>
    </row>
    <row r="120" ht="15.75" customHeight="1" s="24">
      <c r="A120" s="33" t="inlineStr">
        <is>
          <t>F19</t>
        </is>
      </c>
      <c r="B120" s="33" t="inlineStr">
        <is>
          <t>public/data/atlas_zonas.json</t>
        </is>
      </c>
      <c r="C120" s="33" t="inlineStr">
        <is>
          <t>distritos[].centro_lat</t>
        </is>
      </c>
      <c r="D120" s="33" t="inlineStr">
        <is>
          <t>(calculado)</t>
        </is>
      </c>
      <c r="E120" s="33" t="inlineStr">
        <is>
          <t>Latitud de un punto representativo interior del distrito (para etiquetas en el mapa).</t>
        </is>
      </c>
      <c r="F120" s="33" t="inlineStr">
        <is>
          <t>Decimal</t>
        </is>
      </c>
      <c r="G120" s="33" t="inlineStr">
        <is>
          <t>grados decimales (WGS84)</t>
        </is>
      </c>
      <c r="H120" s="33" t="inlineStr">
        <is>
          <t>22.274851</t>
        </is>
      </c>
      <c r="I120" s="33" t="inlineStr">
        <is>
          <t>No</t>
        </is>
      </c>
      <c r="J120" s="33" t="inlineStr">
        <is>
          <t>22,23 a 22,52</t>
        </is>
      </c>
      <c r="K120" s="33" t="inlineStr">
        <is>
          <t>Pública</t>
        </is>
      </c>
      <c r="L120" s="33" t="inlineStr">
        <is>
          <t>Copiado de curated/geo/distritos.csv (unión por codigo). Origen: representative_point() del polígono disuelto, reproyectado a WGS84.</t>
        </is>
      </c>
      <c r="M120" s="33" t="inlineStr">
        <is>
          <t>¿Dónde ubicar la etiqueta del distrito en el mapa?</t>
        </is>
      </c>
    </row>
    <row r="121" ht="15.75" customHeight="1" s="24">
      <c r="A121" s="33" t="inlineStr">
        <is>
          <t>F19</t>
        </is>
      </c>
      <c r="B121" s="33" t="inlineStr">
        <is>
          <t>public/data/atlas_zonas.json</t>
        </is>
      </c>
      <c r="C121" s="33" t="inlineStr">
        <is>
          <t>distritos[].centro_lon</t>
        </is>
      </c>
      <c r="D121" s="33" t="inlineStr">
        <is>
          <t>(calculado)</t>
        </is>
      </c>
      <c r="E121" s="33" t="inlineStr">
        <is>
          <t>Longitud de un punto representativo interior del distrito.</t>
        </is>
      </c>
      <c r="F121" s="33" t="inlineStr">
        <is>
          <t>Decimal</t>
        </is>
      </c>
      <c r="G121" s="33" t="inlineStr">
        <is>
          <t>grados decimales (WGS84)</t>
        </is>
      </c>
      <c r="H121" s="33" t="inlineStr">
        <is>
          <t>114.148691</t>
        </is>
      </c>
      <c r="I121" s="33" t="inlineStr">
        <is>
          <t>No</t>
        </is>
      </c>
      <c r="J121" s="33" t="inlineStr">
        <is>
          <t>113,9 a 114,4</t>
        </is>
      </c>
      <c r="K121" s="33" t="inlineStr">
        <is>
          <t>Pública</t>
        </is>
      </c>
      <c r="L121" s="33" t="inlineStr">
        <is>
          <t>Copiado de curated/geo/distritos.csv (unión por codigo). Origen: representative_point() del polígono disuelto, reproyectado a WGS84.</t>
        </is>
      </c>
      <c r="M121" s="33" t="inlineStr">
        <is>
          <t>¿Dónde ubicar la etiqueta del distrito en el mapa?</t>
        </is>
      </c>
    </row>
    <row r="122" ht="15.75" customHeight="1" s="24">
      <c r="A122" s="33" t="inlineStr">
        <is>
          <t>F19</t>
        </is>
      </c>
      <c r="B122" s="33" t="inlineStr">
        <is>
          <t>public/data/atlas_zonas.json</t>
        </is>
      </c>
      <c r="C122" s="33" t="inlineStr">
        <is>
          <t>distritos[].n_circunscripciones</t>
        </is>
      </c>
      <c r="D122" s="33" t="inlineStr">
        <is>
          <t>(calculado)</t>
        </is>
      </c>
      <c r="E122" s="33" t="inlineStr">
        <is>
          <t>Número de circunscripciones DCCA 2019 dentro del distrito.</t>
        </is>
      </c>
      <c r="F122" s="33" t="inlineStr">
        <is>
          <t>Entero</t>
        </is>
      </c>
      <c r="G122" s="33" t="inlineStr">
        <is>
          <t>conteo</t>
        </is>
      </c>
      <c r="H122" s="33" t="inlineStr">
        <is>
          <t>15</t>
        </is>
      </c>
      <c r="I122" s="33" t="inlineStr">
        <is>
          <t>No</t>
        </is>
      </c>
      <c r="J122" s="33" t="inlineStr">
        <is>
          <t>10 a 41</t>
        </is>
      </c>
      <c r="K122" s="33" t="inlineStr">
        <is>
          <t>Pública</t>
        </is>
      </c>
      <c r="L122" s="33" t="inlineStr">
        <is>
          <t>Copiado de curated/geo/distritos.csv (unión por codigo). Origen: Conteo de DCCA por código de distrito.</t>
        </is>
      </c>
      <c r="M122" s="33" t="inlineStr">
        <is>
          <t>¿Con cuánto detalle territorial se puede analizar cada distrito?</t>
        </is>
      </c>
    </row>
    <row r="123" ht="15.75" customHeight="1" s="24">
      <c r="A123" s="33" t="inlineStr">
        <is>
          <t>F19, F20, F21, F22, F23, F24, F25, F27, F32</t>
        </is>
      </c>
      <c r="B123" s="33" t="inlineStr">
        <is>
          <t>public/data/atlas_zonas.json</t>
        </is>
      </c>
      <c r="C123" s="33" t="inlineStr">
        <is>
          <t>distritos[].cluster</t>
        </is>
      </c>
      <c r="D123" s="33" t="inlineStr">
        <is>
          <t>(calculado)</t>
        </is>
      </c>
      <c r="E123" s="33" t="inlineStr">
        <is>
          <t>Número de grupo asignado por k-means.</t>
        </is>
      </c>
      <c r="F123" s="33" t="inlineStr">
        <is>
          <t>Entero</t>
        </is>
      </c>
      <c r="G123" s="33" t="inlineStr">
        <is>
          <t>—</t>
        </is>
      </c>
      <c r="H123" s="33" t="inlineStr">
        <is>
          <t>2</t>
        </is>
      </c>
      <c r="I123" s="33" t="inlineStr">
        <is>
          <t>No</t>
        </is>
      </c>
      <c r="J123" s="33" t="inlineStr">
        <is>
          <t>0 a 3</t>
        </is>
      </c>
      <c r="K123" s="33" t="inlineStr">
        <is>
          <t>Pública</t>
        </is>
      </c>
      <c r="L123" s="33" t="inlineStr">
        <is>
          <t>K-means (k=4, semilla 42) sobre 6 variables estandarizadas.</t>
        </is>
      </c>
      <c r="M123" s="33" t="inlineStr">
        <is>
          <t>¿Qué distritos se parecen entre sí?</t>
        </is>
      </c>
    </row>
    <row r="124" ht="15.75" customHeight="1" s="24">
      <c r="A124" s="33" t="inlineStr">
        <is>
          <t>F19, F20, F21, F22, F23, F24, F25, F27, F32</t>
        </is>
      </c>
      <c r="B124" s="33" t="inlineStr">
        <is>
          <t>public/data/atlas_zonas.json</t>
        </is>
      </c>
      <c r="C124" s="33" t="inlineStr">
        <is>
          <t>distritos[].tipologia</t>
        </is>
      </c>
      <c r="D124" s="33" t="inlineStr">
        <is>
          <t>(calculado)</t>
        </is>
      </c>
      <c r="E124" s="33" t="inlineStr">
        <is>
          <t>Nombre descriptivo del tipo de zona.</t>
        </is>
      </c>
      <c r="F124" s="33" t="inlineStr">
        <is>
          <t>Texto</t>
        </is>
      </c>
      <c r="G124" s="33" t="inlineStr">
        <is>
          <t>—</t>
        </is>
      </c>
      <c r="H124" s="33" t="inlineStr">
        <is>
          <t>Centro financiero de ingreso alto</t>
        </is>
      </c>
      <c r="I124" s="33" t="inlineStr">
        <is>
          <t>No</t>
        </is>
      </c>
      <c r="J124" s="33" t="inlineStr">
        <is>
          <t>Centro financiero de ingreso alto; Núcleo denso de vivienda pública e ingreso bajo; Núcleo urbano denso de clase media; Suburbano de baja densidad</t>
        </is>
      </c>
      <c r="K124" s="33" t="inlineStr">
        <is>
          <t>Pública</t>
        </is>
      </c>
      <c r="L124" s="33" t="inlineStr">
        <is>
          <t>Nombre asignado según el perfil del centro del grupo (ingreso, vivienda pública, densidad).</t>
        </is>
      </c>
      <c r="M124" s="33" t="inlineStr">
        <is>
          <t>¿Qué tipo de zona es cada distrito?</t>
        </is>
      </c>
    </row>
    <row r="125" ht="15.75" customHeight="1" s="24">
      <c r="A125" s="33" t="inlineStr">
        <is>
          <t>F19, F20, F21, F22, F23, F24, F25, F27, F32</t>
        </is>
      </c>
      <c r="B125" s="33" t="inlineStr">
        <is>
          <t>public/data/atlas_zonas.json</t>
        </is>
      </c>
      <c r="C125" s="33" t="inlineStr">
        <is>
          <t>distritos[].indice_prosperidad</t>
        </is>
      </c>
      <c r="D125" s="33" t="inlineStr">
        <is>
          <t>(calculado)</t>
        </is>
      </c>
      <c r="E125" s="33" t="inlineStr">
        <is>
          <t>Índice 0–100 que combina ingreso 2025 (60 %) y % universitario (40 %).</t>
        </is>
      </c>
      <c r="F125" s="33" t="inlineStr">
        <is>
          <t>Decimal</t>
        </is>
      </c>
      <c r="G125" s="33" t="inlineStr">
        <is>
          <t>índice 0–100</t>
        </is>
      </c>
      <c r="H125" s="33" t="inlineStr">
        <is>
          <t>100.0</t>
        </is>
      </c>
      <c r="I125" s="33" t="inlineStr">
        <is>
          <t>No</t>
        </is>
      </c>
      <c r="J125" s="33" t="inlineStr">
        <is>
          <t>0 a 100</t>
        </is>
      </c>
      <c r="K125" s="33" t="inlineStr">
        <is>
          <t>Pública</t>
        </is>
      </c>
      <c r="L125" s="33" t="inlineStr">
        <is>
          <t>Combinación ponderada normalizada y reescalada min-max entre los 18 distritos.</t>
        </is>
      </c>
      <c r="M125" s="33" t="inlineStr">
        <is>
          <t>¿Qué distritos son más prósperos? (Wiki 1.6, 1.7)</t>
        </is>
      </c>
    </row>
    <row r="126" ht="15.75" customHeight="1" s="24">
      <c r="A126" s="33" t="inlineStr">
        <is>
          <t>F19, F20, F21, F22, F23, F24, F25, F27, F32</t>
        </is>
      </c>
      <c r="B126" s="33" t="inlineStr">
        <is>
          <t>public/data/atlas_zonas.json</t>
        </is>
      </c>
      <c r="C126" s="33" t="inlineStr">
        <is>
          <t>distritos[].indice_conectividad</t>
        </is>
      </c>
      <c r="D126" s="33" t="inlineStr">
        <is>
          <t>(calculado)</t>
        </is>
      </c>
      <c r="E126" s="33" t="inlineStr">
        <is>
          <t>Índice 0–100 que combina paradas por habitante y cercanía a urgencias.</t>
        </is>
      </c>
      <c r="F126" s="33" t="inlineStr">
        <is>
          <t>Decimal</t>
        </is>
      </c>
      <c r="G126" s="33" t="inlineStr">
        <is>
          <t>índice 0–100</t>
        </is>
      </c>
      <c r="H126" s="33" t="inlineStr">
        <is>
          <t>54.9</t>
        </is>
      </c>
      <c r="I126" s="33" t="inlineStr">
        <is>
          <t>No</t>
        </is>
      </c>
      <c r="J126" s="33" t="inlineStr">
        <is>
          <t>0 a 100</t>
        </is>
      </c>
      <c r="K126" s="33" t="inlineStr">
        <is>
          <t>Pública</t>
        </is>
      </c>
      <c r="L126" s="33" t="inlineStr">
        <is>
          <t>Suma normalizada de paradas_por_10k_hab y (1 − distancia a urgencias relativa), reescalada min-max.</t>
        </is>
      </c>
      <c r="M126" s="33" t="inlineStr">
        <is>
          <t>¿Qué distritos están mejor conectados y servidos?</t>
        </is>
      </c>
    </row>
    <row r="127" ht="15.75" customHeight="1" s="24">
      <c r="A127" s="33" t="inlineStr">
        <is>
          <t>F19, F20, F21, F22, F23, F24, F25, F27, F32</t>
        </is>
      </c>
      <c r="B127" s="33" t="inlineStr">
        <is>
          <t>public/data/atlas_zonas.json</t>
        </is>
      </c>
      <c r="C127" s="33" t="inlineStr">
        <is>
          <t>distritos[].indice_presion_demografica</t>
        </is>
      </c>
      <c r="D127" s="33" t="inlineStr">
        <is>
          <t>(calculado)</t>
        </is>
      </c>
      <c r="E127" s="33" t="inlineStr">
        <is>
          <t>Índice 0–100 que combina densidad y % de 65+.</t>
        </is>
      </c>
      <c r="F127" s="33" t="inlineStr">
        <is>
          <t>Decimal</t>
        </is>
      </c>
      <c r="G127" s="33" t="inlineStr">
        <is>
          <t>índice 0–100</t>
        </is>
      </c>
      <c r="H127" s="33" t="inlineStr">
        <is>
          <t>38.1</t>
        </is>
      </c>
      <c r="I127" s="33" t="inlineStr">
        <is>
          <t>No</t>
        </is>
      </c>
      <c r="J127" s="33" t="inlineStr">
        <is>
          <t>0 a 100</t>
        </is>
      </c>
      <c r="K127" s="33" t="inlineStr">
        <is>
          <t>Pública</t>
        </is>
      </c>
      <c r="L127" s="33" t="inlineStr">
        <is>
          <t>Suma normalizada de densidad y pct_65_mas, reescalada min-max.</t>
        </is>
      </c>
      <c r="M127" s="33" t="inlineStr">
        <is>
          <t>¿Dónde hay más presión sobre servicios por densidad y envejecimiento? (Wiki 1.2, 1.3)</t>
        </is>
      </c>
    </row>
    <row r="128" ht="15.75" customHeight="1" s="24">
      <c r="A128" s="33" t="inlineStr">
        <is>
          <t>F19, F20, F21, F22, F23, F24, F25, F27, F32</t>
        </is>
      </c>
      <c r="B128" s="33" t="inlineStr">
        <is>
          <t>public/data/atlas_zonas.json</t>
        </is>
      </c>
      <c r="C128" s="33" t="inlineStr">
        <is>
          <t>distritos[].rank_poblacion_2021</t>
        </is>
      </c>
      <c r="D128" s="33" t="inlineStr">
        <is>
          <t>(calculado)</t>
        </is>
      </c>
      <c r="E128" s="33" t="inlineStr">
        <is>
          <t>Posición del distrito por población (1 = mayor).</t>
        </is>
      </c>
      <c r="F128" s="33" t="inlineStr">
        <is>
          <t>Entero</t>
        </is>
      </c>
      <c r="G128" s="33" t="inlineStr">
        <is>
          <t>posición 1–18</t>
        </is>
      </c>
      <c r="H128" s="33" t="inlineStr">
        <is>
          <t>16</t>
        </is>
      </c>
      <c r="I128" s="33" t="inlineStr">
        <is>
          <t>No</t>
        </is>
      </c>
      <c r="J128" s="33" t="inlineStr">
        <is>
          <t>1 a 18</t>
        </is>
      </c>
      <c r="K128" s="33" t="inlineStr">
        <is>
          <t>Pública</t>
        </is>
      </c>
      <c r="L128" s="33" t="inlineStr">
        <is>
          <t>Ranking descendente, empates con el menor puesto.</t>
        </is>
      </c>
      <c r="M128" s="33" t="inlineStr">
        <is>
          <t>¿Cuál es el distrito más poblado?</t>
        </is>
      </c>
    </row>
    <row r="129" ht="15.75" customHeight="1" s="24">
      <c r="A129" s="33" t="inlineStr">
        <is>
          <t>F19, F20, F21, F22, F23, F24, F25, F27, F32</t>
        </is>
      </c>
      <c r="B129" s="33" t="inlineStr">
        <is>
          <t>public/data/atlas_zonas.json</t>
        </is>
      </c>
      <c r="C129" s="33" t="inlineStr">
        <is>
          <t>distritos[].rank_ingreso_mediano_hogar_hkd_2025</t>
        </is>
      </c>
      <c r="D129" s="33" t="inlineStr">
        <is>
          <t>(calculado)</t>
        </is>
      </c>
      <c r="E129" s="33" t="inlineStr">
        <is>
          <t>Posición del distrito por ingreso 2025 (1 = mayor).</t>
        </is>
      </c>
      <c r="F129" s="33" t="inlineStr">
        <is>
          <t>Entero</t>
        </is>
      </c>
      <c r="G129" s="33" t="inlineStr">
        <is>
          <t>posición 1–18</t>
        </is>
      </c>
      <c r="H129" s="33" t="inlineStr">
        <is>
          <t>1</t>
        </is>
      </c>
      <c r="I129" s="33" t="inlineStr">
        <is>
          <t>No</t>
        </is>
      </c>
      <c r="J129" s="33" t="inlineStr">
        <is>
          <t>1 a 18</t>
        </is>
      </c>
      <c r="K129" s="33" t="inlineStr">
        <is>
          <t>Pública</t>
        </is>
      </c>
      <c r="L129" s="33" t="inlineStr">
        <is>
          <t>Ranking descendente.</t>
        </is>
      </c>
      <c r="M129" s="33" t="inlineStr">
        <is>
          <t>¿Cuál es el distrito más rico?</t>
        </is>
      </c>
    </row>
    <row r="130" ht="15.75" customHeight="1" s="24">
      <c r="A130" s="33" t="inlineStr">
        <is>
          <t>F19, F20, F21, F22, F23, F24, F25, F27, F32</t>
        </is>
      </c>
      <c r="B130" s="33" t="inlineStr">
        <is>
          <t>public/data/atlas_zonas.json</t>
        </is>
      </c>
      <c r="C130" s="33" t="inlineStr">
        <is>
          <t>distritos[].rank_densidad_hab_km2</t>
        </is>
      </c>
      <c r="D130" s="33" t="inlineStr">
        <is>
          <t>(calculado)</t>
        </is>
      </c>
      <c r="E130" s="33" t="inlineStr">
        <is>
          <t>Posición del distrito por densidad (1 = mayor).</t>
        </is>
      </c>
      <c r="F130" s="33" t="inlineStr">
        <is>
          <t>Entero</t>
        </is>
      </c>
      <c r="G130" s="33" t="inlineStr">
        <is>
          <t>posición 1–18</t>
        </is>
      </c>
      <c r="H130" s="33" t="inlineStr">
        <is>
          <t>8</t>
        </is>
      </c>
      <c r="I130" s="33" t="inlineStr">
        <is>
          <t>No</t>
        </is>
      </c>
      <c r="J130" s="33" t="inlineStr">
        <is>
          <t>1 a 18</t>
        </is>
      </c>
      <c r="K130" s="33" t="inlineStr">
        <is>
          <t>Pública</t>
        </is>
      </c>
      <c r="L130" s="33" t="inlineStr">
        <is>
          <t>Ranking descendente.</t>
        </is>
      </c>
      <c r="M130" s="33" t="inlineStr">
        <is>
          <t>¿Cuál es el distrito más denso?</t>
        </is>
      </c>
    </row>
    <row r="131" ht="15.75" customHeight="1" s="24">
      <c r="A131" s="33" t="inlineStr">
        <is>
          <t>F19, F20, F21, F22, F23, F24, F25, F27, F32</t>
        </is>
      </c>
      <c r="B131" s="33" t="inlineStr">
        <is>
          <t>public/data/atlas_zonas.json</t>
        </is>
      </c>
      <c r="C131" s="33" t="inlineStr">
        <is>
          <t>distritos[].rank_pct_65_mas</t>
        </is>
      </c>
      <c r="D131" s="33" t="inlineStr">
        <is>
          <t>(calculado)</t>
        </is>
      </c>
      <c r="E131" s="33" t="inlineStr">
        <is>
          <t>Posición del distrito por % de 65+ (1 = mayor).</t>
        </is>
      </c>
      <c r="F131" s="33" t="inlineStr">
        <is>
          <t>Entero</t>
        </is>
      </c>
      <c r="G131" s="33" t="inlineStr">
        <is>
          <t>posición 1–18</t>
        </is>
      </c>
      <c r="H131" s="33" t="inlineStr">
        <is>
          <t>11</t>
        </is>
      </c>
      <c r="I131" s="33" t="inlineStr">
        <is>
          <t>No</t>
        </is>
      </c>
      <c r="J131" s="33" t="inlineStr">
        <is>
          <t>1 a 18</t>
        </is>
      </c>
      <c r="K131" s="33" t="inlineStr">
        <is>
          <t>Pública</t>
        </is>
      </c>
      <c r="L131" s="33" t="inlineStr">
        <is>
          <t>Ranking descendente.</t>
        </is>
      </c>
      <c r="M131" s="33" t="inlineStr">
        <is>
          <t>¿Cuál es el distrito más envejecido?</t>
        </is>
      </c>
    </row>
    <row r="132" ht="15.75" customHeight="1" s="24">
      <c r="A132" s="33" t="inlineStr">
        <is>
          <t>F19, F20, F21, F22, F23, F24, F25, F27, F32</t>
        </is>
      </c>
      <c r="B132" s="33" t="inlineStr">
        <is>
          <t>public/data/atlas_zonas.json</t>
        </is>
      </c>
      <c r="C132" s="33" t="inlineStr">
        <is>
          <t>distritos[].rank_paradas_por_10k_hab</t>
        </is>
      </c>
      <c r="D132" s="33" t="inlineStr">
        <is>
          <t>(calculado)</t>
        </is>
      </c>
      <c r="E132" s="33" t="inlineStr">
        <is>
          <t>Posición del distrito por paradas por habitante (1 = mayor).</t>
        </is>
      </c>
      <c r="F132" s="33" t="inlineStr">
        <is>
          <t>Entero</t>
        </is>
      </c>
      <c r="G132" s="33" t="inlineStr">
        <is>
          <t>posición 1–18</t>
        </is>
      </c>
      <c r="H132" s="33" t="inlineStr">
        <is>
          <t>2</t>
        </is>
      </c>
      <c r="I132" s="33" t="inlineStr">
        <is>
          <t>No</t>
        </is>
      </c>
      <c r="J132" s="33" t="inlineStr">
        <is>
          <t>1 a 18</t>
        </is>
      </c>
      <c r="K132" s="33" t="inlineStr">
        <is>
          <t>Pública</t>
        </is>
      </c>
      <c r="L132" s="33" t="inlineStr">
        <is>
          <t>Ranking descendente.</t>
        </is>
      </c>
      <c r="M132" s="33" t="inlineStr">
        <is>
          <t>¿Qué distrito tiene más transporte por habitante?</t>
        </is>
      </c>
    </row>
    <row r="133" ht="15.75" customHeight="1" s="24">
      <c r="A133" s="33" t="inlineStr">
        <is>
          <t>F19</t>
        </is>
      </c>
      <c r="B133" s="33" t="inlineStr">
        <is>
          <t>public/data/atlas_zonas.json</t>
        </is>
      </c>
      <c r="C133" s="33" t="inlineStr">
        <is>
          <t>geo_distritos.features[].properties.codigo</t>
        </is>
      </c>
      <c r="D133" s="33" t="inlineStr">
        <is>
          <t>dc_class / 1ª letra de CACODE</t>
        </is>
      </c>
      <c r="E133" s="33" t="inlineStr">
        <is>
          <t>Código de letra del distrito (A–T) usado por el censo y la EAC.</t>
        </is>
      </c>
      <c r="F133" s="33" t="inlineStr">
        <is>
          <t>Texto</t>
        </is>
      </c>
      <c r="G133" s="33" t="inlineStr">
        <is>
          <t>—</t>
        </is>
      </c>
      <c r="H133" s="33" t="inlineStr">
        <is>
          <t>A</t>
        </is>
      </c>
      <c r="I133" s="33" t="inlineStr">
        <is>
          <t>No</t>
        </is>
      </c>
      <c r="J133" s="33" t="inlineStr">
        <is>
          <t>18 valores distintos</t>
        </is>
      </c>
      <c r="K133" s="33" t="inlineStr">
        <is>
          <t>Pública</t>
        </is>
      </c>
      <c r="L133" s="33" t="inlineStr">
        <is>
          <t>Derivado de la primera letra del código DCCA; se usa como llave de unión entre todas las tablas.</t>
        </is>
      </c>
      <c r="M133" s="33" t="inlineStr">
        <is>
          <t>¿A qué distrito pertenece este registro?</t>
        </is>
      </c>
    </row>
    <row r="134" ht="15.75" customHeight="1" s="24">
      <c r="A134" s="33" t="inlineStr">
        <is>
          <t>F19</t>
        </is>
      </c>
      <c r="B134" s="33" t="inlineStr">
        <is>
          <t>public/data/atlas_zonas.json</t>
        </is>
      </c>
      <c r="C134" s="33" t="inlineStr">
        <is>
          <t>geo_distritos.features[].properties.distrito_en</t>
        </is>
      </c>
      <c r="D134" s="33" t="inlineStr">
        <is>
          <t>dc_eng</t>
        </is>
      </c>
      <c r="E134" s="33" t="inlineStr">
        <is>
          <t>Nombre oficial del distrito en inglés.</t>
        </is>
      </c>
      <c r="F134" s="33" t="inlineStr">
        <is>
          <t>Texto</t>
        </is>
      </c>
      <c r="G134" s="33" t="inlineStr">
        <is>
          <t>—</t>
        </is>
      </c>
      <c r="H134" s="33" t="inlineStr">
        <is>
          <t>Central and Western</t>
        </is>
      </c>
      <c r="I134" s="33" t="inlineStr">
        <is>
          <t>No</t>
        </is>
      </c>
      <c r="J134" s="33" t="inlineStr">
        <is>
          <t>18 valores distintos</t>
        </is>
      </c>
      <c r="K134" s="33" t="inlineStr">
        <is>
          <t>Pública</t>
        </is>
      </c>
      <c r="L134" s="33" t="inlineStr">
        <is>
          <t>Estandarizado contra la tabla maestra de 18 distritos.</t>
        </is>
      </c>
      <c r="M134" s="33" t="inlineStr">
        <is>
          <t>¿Cómo se llama el distrito?</t>
        </is>
      </c>
    </row>
    <row r="135" ht="15.75" customHeight="1" s="24">
      <c r="A135" s="33" t="inlineStr">
        <is>
          <t>F22</t>
        </is>
      </c>
      <c r="B135" s="33" t="inlineStr">
        <is>
          <t>public/data/atlas_zonas.json</t>
        </is>
      </c>
      <c r="C135" s="33" t="inlineStr">
        <is>
          <t>geo_distritos.features[].properties.distrito_zh</t>
        </is>
      </c>
      <c r="D135" s="33" t="inlineStr">
        <is>
          <t>District (中文)</t>
        </is>
      </c>
      <c r="E135" s="33" t="inlineStr">
        <is>
          <t>Nombre del distrito en chino tradicional.</t>
        </is>
      </c>
      <c r="F135" s="33" t="inlineStr">
        <is>
          <t>Texto</t>
        </is>
      </c>
      <c r="G135" s="33" t="inlineStr">
        <is>
          <t>—</t>
        </is>
      </c>
      <c r="H135" s="33" t="inlineStr">
        <is>
          <t>中西區</t>
        </is>
      </c>
      <c r="I135" s="33" t="inlineStr">
        <is>
          <t>No</t>
        </is>
      </c>
      <c r="J135" s="33" t="inlineStr">
        <is>
          <t>18 valores distintos</t>
        </is>
      </c>
      <c r="K135" s="33" t="inlineStr">
        <is>
          <t>Pública</t>
        </is>
      </c>
      <c r="L135" s="33" t="inlineStr">
        <is>
          <t>Copiado de curated/geo/distritos.csv (unión por codigo). Origen: Tomado de la tabla de Wikipedia y unido por nombre inglés.</t>
        </is>
      </c>
      <c r="M135" s="33" t="inlineStr">
        <is>
          <t>¿Cómo se llama el distrito en chino?</t>
        </is>
      </c>
    </row>
    <row r="136" ht="15.75" customHeight="1" s="24">
      <c r="A136" s="33" t="inlineStr">
        <is>
          <t>F19</t>
        </is>
      </c>
      <c r="B136" s="33" t="inlineStr">
        <is>
          <t>public/data/atlas_zonas.json</t>
        </is>
      </c>
      <c r="C136" s="33" t="inlineStr">
        <is>
          <t>geo_distritos.features[].properties.distrito_es</t>
        </is>
      </c>
      <c r="D136" s="33" t="inlineStr">
        <is>
          <t>(no existe en la fuente)</t>
        </is>
      </c>
      <c r="E136" s="33" t="inlineStr">
        <is>
          <t>Nombre del distrito en español para la interfaz.</t>
        </is>
      </c>
      <c r="F136" s="33" t="inlineStr">
        <is>
          <t>Texto</t>
        </is>
      </c>
      <c r="G136" s="33" t="inlineStr">
        <is>
          <t>—</t>
        </is>
      </c>
      <c r="H136" s="33" t="inlineStr">
        <is>
          <t>Centro y Oeste</t>
        </is>
      </c>
      <c r="I136" s="33" t="inlineStr">
        <is>
          <t>No</t>
        </is>
      </c>
      <c r="J136" s="33" t="inlineStr">
        <is>
          <t>18 valores distintos</t>
        </is>
      </c>
      <c r="K136" s="33" t="inlineStr">
        <is>
          <t>Pública</t>
        </is>
      </c>
      <c r="L136" s="33" t="inlineStr">
        <is>
          <t>Traducción propia del nombre inglés.</t>
        </is>
      </c>
      <c r="M136" s="33" t="inlineStr">
        <is>
          <t>¿Cómo mostrar el distrito al usuario?</t>
        </is>
      </c>
    </row>
    <row r="137" ht="15.75" customHeight="1" s="24">
      <c r="A137" s="33" t="inlineStr">
        <is>
          <t>F19</t>
        </is>
      </c>
      <c r="B137" s="33" t="inlineStr">
        <is>
          <t>public/data/atlas_zonas.json</t>
        </is>
      </c>
      <c r="C137" s="33" t="inlineStr">
        <is>
          <t>geo_distritos.features[].properties.region</t>
        </is>
      </c>
      <c r="D137" s="33" t="inlineStr">
        <is>
          <t>(no existe en la fuente)</t>
        </is>
      </c>
      <c r="E137" s="33" t="inlineStr">
        <is>
          <t>Gran región a la que pertenece el distrito (Isla de HK, Kowloon o Nuevos Territorios).</t>
        </is>
      </c>
      <c r="F137" s="33" t="inlineStr">
        <is>
          <t>Texto</t>
        </is>
      </c>
      <c r="G137" s="33" t="inlineStr">
        <is>
          <t>—</t>
        </is>
      </c>
      <c r="H137" s="33" t="inlineStr">
        <is>
          <t>Isla de Hong Kong</t>
        </is>
      </c>
      <c r="I137" s="33" t="inlineStr">
        <is>
          <t>No</t>
        </is>
      </c>
      <c r="J137" s="33" t="inlineStr">
        <is>
          <t>Isla de Hong Kong; Kowloon; Nuevos Territorios</t>
        </is>
      </c>
      <c r="K137" s="33" t="inlineStr">
        <is>
          <t>Pública</t>
        </is>
      </c>
      <c r="L137" s="33" t="inlineStr">
        <is>
          <t>Asignada por tabla maestra según la división administrativa oficial; traducida al español.</t>
        </is>
      </c>
      <c r="M137" s="33" t="inlineStr">
        <is>
          <t>¿Cómo se reparte la población entre las tres regiones? (Wiki 1.2)</t>
        </is>
      </c>
    </row>
    <row r="138" ht="15.75" customHeight="1" s="24">
      <c r="A138" s="33" t="inlineStr">
        <is>
          <t>F20</t>
        </is>
      </c>
      <c r="B138" s="33" t="inlineStr">
        <is>
          <t>public/data/atlas_zonas.json</t>
        </is>
      </c>
      <c r="C138" s="33" t="inlineStr">
        <is>
          <t>geo_distritos.features[].properties.poblacion_2021</t>
        </is>
      </c>
      <c r="D138" s="33" t="inlineStr">
        <is>
          <t>t_pop</t>
        </is>
      </c>
      <c r="E138" s="33" t="inlineStr">
        <is>
          <t>Población residente total del distrito en el Censo 2021.</t>
        </is>
      </c>
      <c r="F138" s="33" t="inlineStr">
        <is>
          <t>Entero</t>
        </is>
      </c>
      <c r="G138" s="33" t="inlineStr">
        <is>
          <t>personas</t>
        </is>
      </c>
      <c r="H138" s="33" t="inlineStr">
        <is>
          <t>235953</t>
        </is>
      </c>
      <c r="I138" s="33" t="inlineStr">
        <is>
          <t>No</t>
        </is>
      </c>
      <c r="J138" s="33" t="inlineStr">
        <is>
          <t>166.695 a 692.806</t>
        </is>
      </c>
      <c r="K138" s="33" t="inlineStr">
        <is>
          <t>Pública</t>
        </is>
      </c>
      <c r="L138" s="33" t="inlineStr">
        <is>
          <t>Copiado de curated/demografia/distritos_censo2021.csv (unión por codigo). Origen: Renombrado; descarga vía WFS CSDI.</t>
        </is>
      </c>
      <c r="M138" s="33" t="inlineStr">
        <is>
          <t>¿Cuánta gente vive en cada distrito? (Wiki 1)</t>
        </is>
      </c>
    </row>
    <row r="139" ht="15.75" customHeight="1" s="24">
      <c r="A139" s="33" t="inlineStr">
        <is>
          <t>F20</t>
        </is>
      </c>
      <c r="B139" s="33" t="inlineStr">
        <is>
          <t>public/data/atlas_zonas.json</t>
        </is>
      </c>
      <c r="C139" s="33" t="inlineStr">
        <is>
          <t>geo_distritos.features[].properties.hogares_2021</t>
        </is>
      </c>
      <c r="D139" s="33" t="inlineStr">
        <is>
          <t>dh</t>
        </is>
      </c>
      <c r="E139" s="33" t="inlineStr">
        <is>
          <t>Número de hogares domésticos en 2021.</t>
        </is>
      </c>
      <c r="F139" s="33" t="inlineStr">
        <is>
          <t>Entero</t>
        </is>
      </c>
      <c r="G139" s="33" t="inlineStr">
        <is>
          <t>hogares</t>
        </is>
      </c>
      <c r="H139" s="33" t="inlineStr">
        <is>
          <t>88922</t>
        </is>
      </c>
      <c r="I139" s="33" t="inlineStr">
        <is>
          <t>No</t>
        </is>
      </c>
      <c r="J139" s="33" t="inlineStr">
        <is>
          <t>63.128 a 247.592</t>
        </is>
      </c>
      <c r="K139" s="33" t="inlineStr">
        <is>
          <t>Pública</t>
        </is>
      </c>
      <c r="L139" s="33" t="inlineStr">
        <is>
          <t>Copiado de curated/demografia/distritos_censo2021.csv (unión por codigo). Origen: Renombrado.</t>
        </is>
      </c>
      <c r="M139" s="33" t="inlineStr">
        <is>
          <t>¿Cuántos hogares hay por distrito?</t>
        </is>
      </c>
    </row>
    <row r="140" ht="15.75" customHeight="1" s="24">
      <c r="A140" s="33" t="inlineStr">
        <is>
          <t>F20</t>
        </is>
      </c>
      <c r="B140" s="33" t="inlineStr">
        <is>
          <t>public/data/atlas_zonas.json</t>
        </is>
      </c>
      <c r="C140" s="33" t="inlineStr">
        <is>
          <t>geo_distritos.features[].properties.tamano_medio_hogar</t>
        </is>
      </c>
      <c r="D140" s="33" t="inlineStr">
        <is>
          <t>adhz</t>
        </is>
      </c>
      <c r="E140" s="33" t="inlineStr">
        <is>
          <t>Promedio de personas por hogar doméstico.</t>
        </is>
      </c>
      <c r="F140" s="33" t="inlineStr">
        <is>
          <t>Decimal</t>
        </is>
      </c>
      <c r="G140" s="33" t="inlineStr">
        <is>
          <t>personas/hogar</t>
        </is>
      </c>
      <c r="H140" s="33" t="inlineStr">
        <is>
          <t>2.6</t>
        </is>
      </c>
      <c r="I140" s="33" t="inlineStr">
        <is>
          <t>No</t>
        </is>
      </c>
      <c r="J140" s="33" t="inlineStr">
        <is>
          <t>2,5 a 2,9</t>
        </is>
      </c>
      <c r="K140" s="33" t="inlineStr">
        <is>
          <t>Pública</t>
        </is>
      </c>
      <c r="L140" s="33" t="inlineStr">
        <is>
          <t>Copiado de curated/demografia/distritos_censo2021.csv (unión por codigo). Origen: Renombrado.</t>
        </is>
      </c>
      <c r="M140" s="33" t="inlineStr">
        <is>
          <t>¿Dónde viven hogares más grandes o más pequeños? (Wiki 2.8)</t>
        </is>
      </c>
    </row>
    <row r="141" ht="15.75" customHeight="1" s="24">
      <c r="A141" s="33" t="inlineStr">
        <is>
          <t>F20</t>
        </is>
      </c>
      <c r="B141" s="33" t="inlineStr">
        <is>
          <t>public/data/atlas_zonas.json</t>
        </is>
      </c>
      <c r="C141" s="33" t="inlineStr">
        <is>
          <t>geo_distritos.features[].properties.edad_mediana</t>
        </is>
      </c>
      <c r="D141" s="33" t="inlineStr">
        <is>
          <t>t_ma (Censo 2021 (DC_21C)) / lbnp_ma_t (Encuesta General de Hogares (DC_GHS))</t>
        </is>
      </c>
      <c r="E141" s="33" t="inlineStr">
        <is>
          <t>Edad que divide a la población en dos mitades.</t>
        </is>
      </c>
      <c r="F141" s="33" t="inlineStr">
        <is>
          <t>Decimal</t>
        </is>
      </c>
      <c r="G141" s="33" t="inlineStr">
        <is>
          <t>años</t>
        </is>
      </c>
      <c r="H141" s="33" t="inlineStr">
        <is>
          <t>44.8</t>
        </is>
      </c>
      <c r="I141" s="33" t="inlineStr">
        <is>
          <t>No</t>
        </is>
      </c>
      <c r="J141" s="33" t="inlineStr">
        <is>
          <t>42,7 a 50,1</t>
        </is>
      </c>
      <c r="K141" s="33" t="inlineStr">
        <is>
          <t>Pública</t>
        </is>
      </c>
      <c r="L141" s="33" t="inlineStr">
        <is>
          <t>Copiado de curated/demografia/distritos_censo2021.csv (unión por codigo). Origen: Renombrado; en el panel GHS la fuente la publica redondeada a entero.</t>
        </is>
      </c>
      <c r="M141" s="33" t="inlineStr">
        <is>
          <t>¿Qué distritos están más envejecidos? (Wiki 1.3)</t>
        </is>
      </c>
    </row>
    <row r="142" ht="15.75" customHeight="1" s="24">
      <c r="A142" s="33" t="inlineStr">
        <is>
          <t>F20</t>
        </is>
      </c>
      <c r="B142" s="33" t="inlineStr">
        <is>
          <t>public/data/atlas_zonas.json</t>
        </is>
      </c>
      <c r="C142" s="33" t="inlineStr">
        <is>
          <t>geo_distritos.features[].properties.razon_sexos_hombres_por_1000_mujeres</t>
        </is>
      </c>
      <c r="D142" s="33" t="inlineStr">
        <is>
          <t>sr</t>
        </is>
      </c>
      <c r="E142" s="33" t="inlineStr">
        <is>
          <t>Hombres por cada 1.000 mujeres (incluye empleadas domésticas extranjeras).</t>
        </is>
      </c>
      <c r="F142" s="33" t="inlineStr">
        <is>
          <t>Entero</t>
        </is>
      </c>
      <c r="G142" s="33" t="inlineStr">
        <is>
          <t>hombres por 1.000 mujeres</t>
        </is>
      </c>
      <c r="H142" s="33" t="inlineStr">
        <is>
          <t>714</t>
        </is>
      </c>
      <c r="I142" s="33" t="inlineStr">
        <is>
          <t>No</t>
        </is>
      </c>
      <c r="J142" s="33" t="inlineStr">
        <is>
          <t>673 a 902</t>
        </is>
      </c>
      <c r="K142" s="33" t="inlineStr">
        <is>
          <t>Pública</t>
        </is>
      </c>
      <c r="L142" s="33" t="inlineStr">
        <is>
          <t>Copiado de curated/demografia/distritos_censo2021.csv (unión por codigo). Origen: Renombrado.</t>
        </is>
      </c>
      <c r="M142" s="33" t="inlineStr">
        <is>
          <t>¿Cuál es el balance entre hombres y mujeres? (Wiki 1.3)</t>
        </is>
      </c>
    </row>
    <row r="143" ht="15.75" customHeight="1" s="24">
      <c r="A143" s="33" t="inlineStr">
        <is>
          <t>F20</t>
        </is>
      </c>
      <c r="B143" s="33" t="inlineStr">
        <is>
          <t>public/data/atlas_zonas.json</t>
        </is>
      </c>
      <c r="C143" s="33" t="inlineStr">
        <is>
          <t>geo_distritos.features[].properties.pob_0_14</t>
        </is>
      </c>
      <c r="D143" s="33" t="inlineStr">
        <is>
          <t>age_1</t>
        </is>
      </c>
      <c r="E143" s="33" t="inlineStr">
        <is>
          <t>Población de 0 a 14 años.</t>
        </is>
      </c>
      <c r="F143" s="33" t="inlineStr">
        <is>
          <t>Entero</t>
        </is>
      </c>
      <c r="G143" s="33" t="inlineStr">
        <is>
          <t>personas</t>
        </is>
      </c>
      <c r="H143" s="33" t="inlineStr">
        <is>
          <t>24382</t>
        </is>
      </c>
      <c r="I143" s="33" t="inlineStr">
        <is>
          <t>No</t>
        </is>
      </c>
      <c r="J143" s="33" t="inlineStr">
        <is>
          <t>16.917 a 78.886</t>
        </is>
      </c>
      <c r="K143" s="33" t="inlineStr">
        <is>
          <t>Pública</t>
        </is>
      </c>
      <c r="L143" s="33" t="inlineStr">
        <is>
          <t>Copiado de curated/demografia/distritos_censo2021.csv (unión por codigo). Origen: Renombrado; validado: la suma de los 5 grupos = t_pop.</t>
        </is>
      </c>
      <c r="M143" s="33" t="inlineStr">
        <is>
          <t>¿Cuántos niños hay por distrito? (Wiki 1.3, 1.10)</t>
        </is>
      </c>
    </row>
    <row r="144" ht="15.75" customHeight="1" s="24">
      <c r="A144" s="33" t="inlineStr">
        <is>
          <t>F20</t>
        </is>
      </c>
      <c r="B144" s="33" t="inlineStr">
        <is>
          <t>public/data/atlas_zonas.json</t>
        </is>
      </c>
      <c r="C144" s="33" t="inlineStr">
        <is>
          <t>geo_distritos.features[].properties.pob_15_24</t>
        </is>
      </c>
      <c r="D144" s="33" t="inlineStr">
        <is>
          <t>age_2</t>
        </is>
      </c>
      <c r="E144" s="33" t="inlineStr">
        <is>
          <t>Población de 15 a 24 años.</t>
        </is>
      </c>
      <c r="F144" s="33" t="inlineStr">
        <is>
          <t>Entero</t>
        </is>
      </c>
      <c r="G144" s="33" t="inlineStr">
        <is>
          <t>personas</t>
        </is>
      </c>
      <c r="H144" s="33" t="inlineStr">
        <is>
          <t>16779</t>
        </is>
      </c>
      <c r="I144" s="33" t="inlineStr">
        <is>
          <t>No</t>
        </is>
      </c>
      <c r="J144" s="33" t="inlineStr">
        <is>
          <t>9.907 a 60.321</t>
        </is>
      </c>
      <c r="K144" s="33" t="inlineStr">
        <is>
          <t>Pública</t>
        </is>
      </c>
      <c r="L144" s="33" t="inlineStr">
        <is>
          <t>Copiado de curated/demografia/distritos_censo2021.csv (unión por codigo). Origen: Renombrado.</t>
        </is>
      </c>
      <c r="M144" s="33" t="inlineStr">
        <is>
          <t>¿Cuántos jóvenes hay por distrito?</t>
        </is>
      </c>
    </row>
    <row r="145" ht="15.75" customHeight="1" s="24">
      <c r="A145" s="33" t="inlineStr">
        <is>
          <t>F20</t>
        </is>
      </c>
      <c r="B145" s="33" t="inlineStr">
        <is>
          <t>public/data/atlas_zonas.json</t>
        </is>
      </c>
      <c r="C145" s="33" t="inlineStr">
        <is>
          <t>geo_distritos.features[].properties.pob_25_44</t>
        </is>
      </c>
      <c r="D145" s="33" t="inlineStr">
        <is>
          <t>age_3</t>
        </is>
      </c>
      <c r="E145" s="33" t="inlineStr">
        <is>
          <t>Población de 25 a 44 años.</t>
        </is>
      </c>
      <c r="F145" s="33" t="inlineStr">
        <is>
          <t>Entero</t>
        </is>
      </c>
      <c r="G145" s="33" t="inlineStr">
        <is>
          <t>personas</t>
        </is>
      </c>
      <c r="H145" s="33" t="inlineStr">
        <is>
          <t>77767</t>
        </is>
      </c>
      <c r="I145" s="33" t="inlineStr">
        <is>
          <t>No</t>
        </is>
      </c>
      <c r="J145" s="33" t="inlineStr">
        <is>
          <t>53.860 a 211.376</t>
        </is>
      </c>
      <c r="K145" s="33" t="inlineStr">
        <is>
          <t>Pública</t>
        </is>
      </c>
      <c r="L145" s="33" t="inlineStr">
        <is>
          <t>Copiado de curated/demografia/distritos_censo2021.csv (unión por codigo). Origen: Renombrado.</t>
        </is>
      </c>
      <c r="M145" s="33" t="inlineStr">
        <is>
          <t>¿Dónde se concentra la población adulta joven?</t>
        </is>
      </c>
    </row>
    <row r="146" ht="15.75" customHeight="1" s="24">
      <c r="A146" s="33" t="inlineStr">
        <is>
          <t>F20</t>
        </is>
      </c>
      <c r="B146" s="33" t="inlineStr">
        <is>
          <t>public/data/atlas_zonas.json</t>
        </is>
      </c>
      <c r="C146" s="33" t="inlineStr">
        <is>
          <t>geo_distritos.features[].properties.pob_45_64</t>
        </is>
      </c>
      <c r="D146" s="33" t="inlineStr">
        <is>
          <t>age_4</t>
        </is>
      </c>
      <c r="E146" s="33" t="inlineStr">
        <is>
          <t>Población de 45 a 64 años.</t>
        </is>
      </c>
      <c r="F146" s="33" t="inlineStr">
        <is>
          <t>Entero</t>
        </is>
      </c>
      <c r="G146" s="33" t="inlineStr">
        <is>
          <t>personas</t>
        </is>
      </c>
      <c r="H146" s="33" t="inlineStr">
        <is>
          <t>71534</t>
        </is>
      </c>
      <c r="I146" s="33" t="inlineStr">
        <is>
          <t>No</t>
        </is>
      </c>
      <c r="J146" s="33" t="inlineStr">
        <is>
          <t>50.632 a 220.703</t>
        </is>
      </c>
      <c r="K146" s="33" t="inlineStr">
        <is>
          <t>Pública</t>
        </is>
      </c>
      <c r="L146" s="33" t="inlineStr">
        <is>
          <t>Copiado de curated/demografia/distritos_censo2021.csv (unión por codigo). Origen: Renombrado.</t>
        </is>
      </c>
      <c r="M146" s="33" t="inlineStr">
        <is>
          <t>¿Dónde se concentra la población adulta mayor?</t>
        </is>
      </c>
    </row>
    <row r="147" ht="15.75" customHeight="1" s="24">
      <c r="A147" s="33" t="inlineStr">
        <is>
          <t>F20</t>
        </is>
      </c>
      <c r="B147" s="33" t="inlineStr">
        <is>
          <t>public/data/atlas_zonas.json</t>
        </is>
      </c>
      <c r="C147" s="33" t="inlineStr">
        <is>
          <t>geo_distritos.features[].properties.pob_65_mas</t>
        </is>
      </c>
      <c r="D147" s="33" t="inlineStr">
        <is>
          <t>age_5</t>
        </is>
      </c>
      <c r="E147" s="33" t="inlineStr">
        <is>
          <t>Población de 65 años o más.</t>
        </is>
      </c>
      <c r="F147" s="33" t="inlineStr">
        <is>
          <t>Entero</t>
        </is>
      </c>
      <c r="G147" s="33" t="inlineStr">
        <is>
          <t>personas</t>
        </is>
      </c>
      <c r="H147" s="33" t="inlineStr">
        <is>
          <t>45491</t>
        </is>
      </c>
      <c r="I147" s="33" t="inlineStr">
        <is>
          <t>No</t>
        </is>
      </c>
      <c r="J147" s="33" t="inlineStr">
        <is>
          <t>27.296 a 147.741</t>
        </is>
      </c>
      <c r="K147" s="33" t="inlineStr">
        <is>
          <t>Pública</t>
        </is>
      </c>
      <c r="L147" s="33" t="inlineStr">
        <is>
          <t>Copiado de curated/demografia/distritos_censo2021.csv (unión por codigo). Origen: Renombrado.</t>
        </is>
      </c>
      <c r="M147" s="33" t="inlineStr">
        <is>
          <t>¿Cuántas personas mayores hay por distrito? (Wiki 1.3)</t>
        </is>
      </c>
    </row>
    <row r="148" ht="15.75" customHeight="1" s="24">
      <c r="A148" s="33" t="inlineStr">
        <is>
          <t>F20</t>
        </is>
      </c>
      <c r="B148" s="33" t="inlineStr">
        <is>
          <t>public/data/atlas_zonas.json</t>
        </is>
      </c>
      <c r="C148" s="33" t="inlineStr">
        <is>
          <t>geo_distritos.features[].properties.pct_0_14</t>
        </is>
      </c>
      <c r="D148" s="33" t="inlineStr">
        <is>
          <t>(calculado)</t>
        </is>
      </c>
      <c r="E148" s="33" t="inlineStr">
        <is>
          <t>Porcentaje de la población con 0–14 años.</t>
        </is>
      </c>
      <c r="F148" s="33" t="inlineStr">
        <is>
          <t>Decimal</t>
        </is>
      </c>
      <c r="G148" s="33" t="inlineStr">
        <is>
          <t>%</t>
        </is>
      </c>
      <c r="H148" s="33" t="inlineStr">
        <is>
          <t>10.33</t>
        </is>
      </c>
      <c r="I148" s="33" t="inlineStr">
        <is>
          <t>No</t>
        </is>
      </c>
      <c r="J148" s="33" t="inlineStr">
        <is>
          <t>8,92 a 12,83</t>
        </is>
      </c>
      <c r="K148" s="33" t="inlineStr">
        <is>
          <t>Pública</t>
        </is>
      </c>
      <c r="L148" s="33" t="inlineStr">
        <is>
          <t>Copiado de curated/demografia/distritos_censo2021.csv (unión por codigo). Origen: 100 × age_1 / t_pop, 2 decimales.</t>
        </is>
      </c>
      <c r="M148" s="33" t="inlineStr">
        <is>
          <t>¿Qué distritos tienen más peso de niños? (Wiki 1.10)</t>
        </is>
      </c>
    </row>
    <row r="149" ht="15.75" customHeight="1" s="24">
      <c r="A149" s="33" t="inlineStr">
        <is>
          <t>F20</t>
        </is>
      </c>
      <c r="B149" s="33" t="inlineStr">
        <is>
          <t>public/data/atlas_zonas.json</t>
        </is>
      </c>
      <c r="C149" s="33" t="inlineStr">
        <is>
          <t>geo_distritos.features[].properties.pct_15_24</t>
        </is>
      </c>
      <c r="D149" s="33" t="inlineStr">
        <is>
          <t>(calculado)</t>
        </is>
      </c>
      <c r="E149" s="33" t="inlineStr">
        <is>
          <t>Porcentaje de la población con 15–24 años.</t>
        </is>
      </c>
      <c r="F149" s="33" t="inlineStr">
        <is>
          <t>Decimal</t>
        </is>
      </c>
      <c r="G149" s="33" t="inlineStr">
        <is>
          <t>%</t>
        </is>
      </c>
      <c r="H149" s="33" t="inlineStr">
        <is>
          <t>7.11</t>
        </is>
      </c>
      <c r="I149" s="33" t="inlineStr">
        <is>
          <t>No</t>
        </is>
      </c>
      <c r="J149" s="33" t="inlineStr">
        <is>
          <t>5,94 a 9,07</t>
        </is>
      </c>
      <c r="K149" s="33" t="inlineStr">
        <is>
          <t>Pública</t>
        </is>
      </c>
      <c r="L149" s="33" t="inlineStr">
        <is>
          <t>Copiado de curated/demografia/distritos_censo2021.csv (unión por codigo). Origen: 100 × age_2 / t_pop.</t>
        </is>
      </c>
      <c r="M149" s="33" t="inlineStr">
        <is>
          <t>¿Qué peso tienen los jóvenes en cada distrito?</t>
        </is>
      </c>
    </row>
    <row r="150" ht="15.75" customHeight="1" s="24">
      <c r="A150" s="33" t="inlineStr">
        <is>
          <t>F20</t>
        </is>
      </c>
      <c r="B150" s="33" t="inlineStr">
        <is>
          <t>public/data/atlas_zonas.json</t>
        </is>
      </c>
      <c r="C150" s="33" t="inlineStr">
        <is>
          <t>geo_distritos.features[].properties.pct_25_44</t>
        </is>
      </c>
      <c r="D150" s="33" t="inlineStr">
        <is>
          <t>(calculado)</t>
        </is>
      </c>
      <c r="E150" s="33" t="inlineStr">
        <is>
          <t>Porcentaje de la población con 25–44 años.</t>
        </is>
      </c>
      <c r="F150" s="33" t="inlineStr">
        <is>
          <t>Decimal</t>
        </is>
      </c>
      <c r="G150" s="33" t="inlineStr">
        <is>
          <t>%</t>
        </is>
      </c>
      <c r="H150" s="33" t="inlineStr">
        <is>
          <t>32.96</t>
        </is>
      </c>
      <c r="I150" s="33" t="inlineStr">
        <is>
          <t>No</t>
        </is>
      </c>
      <c r="J150" s="33" t="inlineStr">
        <is>
          <t>25,41 a 32,96</t>
        </is>
      </c>
      <c r="K150" s="33" t="inlineStr">
        <is>
          <t>Pública</t>
        </is>
      </c>
      <c r="L150" s="33" t="inlineStr">
        <is>
          <t>Copiado de curated/demografia/distritos_censo2021.csv (unión por codigo). Origen: 100 × age_3 / t_pop.</t>
        </is>
      </c>
      <c r="M150" s="33" t="inlineStr">
        <is>
          <t>¿Qué peso tiene la población adulta joven?</t>
        </is>
      </c>
    </row>
    <row r="151" ht="15.75" customHeight="1" s="24">
      <c r="A151" s="33" t="inlineStr">
        <is>
          <t>F20</t>
        </is>
      </c>
      <c r="B151" s="33" t="inlineStr">
        <is>
          <t>public/data/atlas_zonas.json</t>
        </is>
      </c>
      <c r="C151" s="33" t="inlineStr">
        <is>
          <t>geo_distritos.features[].properties.pct_45_64</t>
        </is>
      </c>
      <c r="D151" s="33" t="inlineStr">
        <is>
          <t>(calculado)</t>
        </is>
      </c>
      <c r="E151" s="33" t="inlineStr">
        <is>
          <t>Porcentaje de la población con 45–64 años.</t>
        </is>
      </c>
      <c r="F151" s="33" t="inlineStr">
        <is>
          <t>Decimal</t>
        </is>
      </c>
      <c r="G151" s="33" t="inlineStr">
        <is>
          <t>%</t>
        </is>
      </c>
      <c r="H151" s="33" t="inlineStr">
        <is>
          <t>30.32</t>
        </is>
      </c>
      <c r="I151" s="33" t="inlineStr">
        <is>
          <t>No</t>
        </is>
      </c>
      <c r="J151" s="33" t="inlineStr">
        <is>
          <t>30,32 a 34,49</t>
        </is>
      </c>
      <c r="K151" s="33" t="inlineStr">
        <is>
          <t>Pública</t>
        </is>
      </c>
      <c r="L151" s="33" t="inlineStr">
        <is>
          <t>Copiado de curated/demografia/distritos_censo2021.csv (unión por codigo). Origen: 100 × age_4 / t_pop.</t>
        </is>
      </c>
      <c r="M151" s="33" t="inlineStr">
        <is>
          <t>¿Qué peso tiene la población adulta mayor?</t>
        </is>
      </c>
    </row>
    <row r="152" ht="15.75" customHeight="1" s="24">
      <c r="A152" s="33" t="inlineStr">
        <is>
          <t>F20</t>
        </is>
      </c>
      <c r="B152" s="33" t="inlineStr">
        <is>
          <t>public/data/atlas_zonas.json</t>
        </is>
      </c>
      <c r="C152" s="33" t="inlineStr">
        <is>
          <t>geo_distritos.features[].properties.pct_65_mas</t>
        </is>
      </c>
      <c r="D152" s="33" t="inlineStr">
        <is>
          <t>(calculado)</t>
        </is>
      </c>
      <c r="E152" s="33" t="inlineStr">
        <is>
          <t>Porcentaje de la población con 65 años o más.</t>
        </is>
      </c>
      <c r="F152" s="33" t="inlineStr">
        <is>
          <t>Decimal</t>
        </is>
      </c>
      <c r="G152" s="33" t="inlineStr">
        <is>
          <t>%</t>
        </is>
      </c>
      <c r="H152" s="33" t="inlineStr">
        <is>
          <t>19.28</t>
        </is>
      </c>
      <c r="I152" s="33" t="inlineStr">
        <is>
          <t>No</t>
        </is>
      </c>
      <c r="J152" s="33" t="inlineStr">
        <is>
          <t>14,73 a 23,36</t>
        </is>
      </c>
      <c r="K152" s="33" t="inlineStr">
        <is>
          <t>Pública</t>
        </is>
      </c>
      <c r="L152" s="33" t="inlineStr">
        <is>
          <t>Copiado de curated/demografia/distritos_censo2021.csv (unión por codigo). Origen: 100 × age_5 / t_pop, 2 decimales.</t>
        </is>
      </c>
      <c r="M152" s="33" t="inlineStr">
        <is>
          <t>¿Qué distritos están más envejecidos? (Wiki 1.3)</t>
        </is>
      </c>
    </row>
    <row r="153" ht="15.75" customHeight="1" s="24">
      <c r="A153" s="33" t="inlineStr">
        <is>
          <t>F20</t>
        </is>
      </c>
      <c r="B153" s="33" t="inlineStr">
        <is>
          <t>public/data/atlas_zonas.json</t>
        </is>
      </c>
      <c r="C153" s="33" t="inlineStr">
        <is>
          <t>geo_distritos.features[].properties.indice_envejecimiento</t>
        </is>
      </c>
      <c r="D153" s="33" t="inlineStr">
        <is>
          <t>(calculado)</t>
        </is>
      </c>
      <c r="E153" s="33" t="inlineStr">
        <is>
          <t>Personas de 65+ por cada 100 menores de 15 años.</t>
        </is>
      </c>
      <c r="F153" s="33" t="inlineStr">
        <is>
          <t>Decimal</t>
        </is>
      </c>
      <c r="G153" s="33" t="inlineStr">
        <is>
          <t>personas 65+ por 100 de 0–14</t>
        </is>
      </c>
      <c r="H153" s="33" t="inlineStr">
        <is>
          <t>186.6</t>
        </is>
      </c>
      <c r="I153" s="33" t="inlineStr">
        <is>
          <t>No</t>
        </is>
      </c>
      <c r="J153" s="33" t="inlineStr">
        <is>
          <t>114,8 a 257,5</t>
        </is>
      </c>
      <c r="K153" s="33" t="inlineStr">
        <is>
          <t>Pública</t>
        </is>
      </c>
      <c r="L153" s="33" t="inlineStr">
        <is>
          <t>Copiado de curated/demografia/distritos_censo2021.csv (unión por codigo). Origen: 100 × age_5 / age_1.</t>
        </is>
      </c>
      <c r="M153" s="33" t="inlineStr">
        <is>
          <t>¿Dónde hay más mayores que niños? (Wiki 1.3)</t>
        </is>
      </c>
    </row>
    <row r="154" ht="15.75" customHeight="1" s="24">
      <c r="A154" s="33" t="inlineStr">
        <is>
          <t>F20</t>
        </is>
      </c>
      <c r="B154" s="33" t="inlineStr">
        <is>
          <t>public/data/atlas_zonas.json</t>
        </is>
      </c>
      <c r="C154" s="33" t="inlineStr">
        <is>
          <t>geo_distritos.features[].properties.pob_15_mas_con_titulo_universitario</t>
        </is>
      </c>
      <c r="D154" s="33" t="inlineStr">
        <is>
          <t>edu_deg</t>
        </is>
      </c>
      <c r="E154" s="33" t="inlineStr">
        <is>
          <t>Personas de 15+ cuyo nivel más alto es título universitario (grado).</t>
        </is>
      </c>
      <c r="F154" s="33" t="inlineStr">
        <is>
          <t>Entero</t>
        </is>
      </c>
      <c r="G154" s="33" t="inlineStr">
        <is>
          <t>personas</t>
        </is>
      </c>
      <c r="H154" s="33" t="inlineStr">
        <is>
          <t>89251</t>
        </is>
      </c>
      <c r="I154" s="33" t="inlineStr">
        <is>
          <t>No</t>
        </is>
      </c>
      <c r="J154" s="33" t="inlineStr">
        <is>
          <t>43.705 a 154.778</t>
        </is>
      </c>
      <c r="K154" s="33" t="inlineStr">
        <is>
          <t>Pública</t>
        </is>
      </c>
      <c r="L154" s="33" t="inlineStr">
        <is>
          <t>Copiado de curated/demografia/distritos_censo2021.csv (unión por codigo). Origen: Renombrado. No incluye educación superior no universitaria.</t>
        </is>
      </c>
      <c r="M154" s="33" t="inlineStr">
        <is>
          <t>¿Cuánta población tiene educación universitaria? (Wiki 1.6)</t>
        </is>
      </c>
    </row>
    <row r="155" ht="15.75" customHeight="1" s="24">
      <c r="A155" s="33" t="inlineStr">
        <is>
          <t>F20</t>
        </is>
      </c>
      <c r="B155" s="33" t="inlineStr">
        <is>
          <t>public/data/atlas_zonas.json</t>
        </is>
      </c>
      <c r="C155" s="33" t="inlineStr">
        <is>
          <t>geo_distritos.features[].properties.pct_titulo_universitario_15_mas</t>
        </is>
      </c>
      <c r="D155" s="33" t="inlineStr">
        <is>
          <t>(calculado)</t>
        </is>
      </c>
      <c r="E155" s="33" t="inlineStr">
        <is>
          <t>Porcentaje de la población de 15+ con título universitario.</t>
        </is>
      </c>
      <c r="F155" s="33" t="inlineStr">
        <is>
          <t>Decimal</t>
        </is>
      </c>
      <c r="G155" s="33" t="inlineStr">
        <is>
          <t>%</t>
        </is>
      </c>
      <c r="H155" s="33" t="inlineStr">
        <is>
          <t>42.18</t>
        </is>
      </c>
      <c r="I155" s="33" t="inlineStr">
        <is>
          <t>No</t>
        </is>
      </c>
      <c r="J155" s="33" t="inlineStr">
        <is>
          <t>16,42 a 42,43</t>
        </is>
      </c>
      <c r="K155" s="33" t="inlineStr">
        <is>
          <t>Pública</t>
        </is>
      </c>
      <c r="L155" s="33" t="inlineStr">
        <is>
          <t>Copiado de curated/demografia/distritos_censo2021.csv (unión por codigo). Origen: 100 × edu_deg / (t_pop − age_1).</t>
        </is>
      </c>
      <c r="M155" s="33" t="inlineStr">
        <is>
          <t>¿Qué distritos tienen más capital humano? (Wiki 1.6)</t>
        </is>
      </c>
    </row>
    <row r="156" ht="15.75" customHeight="1" s="24">
      <c r="A156" s="33" t="inlineStr">
        <is>
          <t>F20</t>
        </is>
      </c>
      <c r="B156" s="33" t="inlineStr">
        <is>
          <t>public/data/atlas_zonas.json</t>
        </is>
      </c>
      <c r="C156" s="33" t="inlineStr">
        <is>
          <t>geo_distritos.features[].properties.pob_nacida_en_hk</t>
        </is>
      </c>
      <c r="D156" s="33" t="inlineStr">
        <is>
          <t>born_hk</t>
        </is>
      </c>
      <c r="E156" s="33" t="inlineStr">
        <is>
          <t>Personas nacidas en Hong Kong.</t>
        </is>
      </c>
      <c r="F156" s="33" t="inlineStr">
        <is>
          <t>Entero</t>
        </is>
      </c>
      <c r="G156" s="33" t="inlineStr">
        <is>
          <t>personas</t>
        </is>
      </c>
      <c r="H156" s="33" t="inlineStr">
        <is>
          <t>126335</t>
        </is>
      </c>
      <c r="I156" s="33" t="inlineStr">
        <is>
          <t>No</t>
        </is>
      </c>
      <c r="J156" s="33" t="inlineStr">
        <is>
          <t>91.997 a 453.024</t>
        </is>
      </c>
      <c r="K156" s="33" t="inlineStr">
        <is>
          <t>Pública</t>
        </is>
      </c>
      <c r="L156" s="33" t="inlineStr">
        <is>
          <t>Copiado de curated/demografia/distritos_censo2021.csv (unión por codigo). Origen: Renombrado.</t>
        </is>
      </c>
      <c r="M156" s="33" t="inlineStr">
        <is>
          <t>¿Dónde vive más población local vs. migrante? (Wiki 1.9)</t>
        </is>
      </c>
    </row>
    <row r="157" ht="15.75" customHeight="1" s="24">
      <c r="A157" s="33" t="inlineStr">
        <is>
          <t>F20</t>
        </is>
      </c>
      <c r="B157" s="33" t="inlineStr">
        <is>
          <t>public/data/atlas_zonas.json</t>
        </is>
      </c>
      <c r="C157" s="33" t="inlineStr">
        <is>
          <t>geo_distritos.features[].properties.pct_nacida_en_hk</t>
        </is>
      </c>
      <c r="D157" s="33" t="inlineStr">
        <is>
          <t>(calculado)</t>
        </is>
      </c>
      <c r="E157" s="33" t="inlineStr">
        <is>
          <t>Porcentaje de la población nacida en Hong Kong.</t>
        </is>
      </c>
      <c r="F157" s="33" t="inlineStr">
        <is>
          <t>Decimal</t>
        </is>
      </c>
      <c r="G157" s="33" t="inlineStr">
        <is>
          <t>%</t>
        </is>
      </c>
      <c r="H157" s="33" t="inlineStr">
        <is>
          <t>53.54</t>
        </is>
      </c>
      <c r="I157" s="33" t="inlineStr">
        <is>
          <t>No</t>
        </is>
      </c>
      <c r="J157" s="33" t="inlineStr">
        <is>
          <t>52,55 a 68,56</t>
        </is>
      </c>
      <c r="K157" s="33" t="inlineStr">
        <is>
          <t>Pública</t>
        </is>
      </c>
      <c r="L157" s="33" t="inlineStr">
        <is>
          <t>Copiado de curated/demografia/distritos_censo2021.csv (unión por codigo). Origen: 100 × born_hk / t_pop.</t>
        </is>
      </c>
      <c r="M157" s="33" t="inlineStr">
        <is>
          <t>¿Qué distritos tienen más población nacida fuera? (Wiki 1.9)</t>
        </is>
      </c>
    </row>
    <row r="158" ht="15.75" customHeight="1" s="24">
      <c r="A158" s="33" t="inlineStr">
        <is>
          <t>F20</t>
        </is>
      </c>
      <c r="B158" s="33" t="inlineStr">
        <is>
          <t>public/data/atlas_zonas.json</t>
        </is>
      </c>
      <c r="C158" s="33" t="inlineStr">
        <is>
          <t>geo_distritos.features[].properties.pob_vivienda_publica_alquiler</t>
        </is>
      </c>
      <c r="D158" s="33" t="inlineStr">
        <is>
          <t>pop_pub</t>
        </is>
      </c>
      <c r="E158" s="33" t="inlineStr">
        <is>
          <t>Personas que viven en vivienda pública de alquiler (PRH).</t>
        </is>
      </c>
      <c r="F158" s="33" t="inlineStr">
        <is>
          <t>Entero</t>
        </is>
      </c>
      <c r="G158" s="33" t="inlineStr">
        <is>
          <t>personas</t>
        </is>
      </c>
      <c r="H158" s="33" t="inlineStr">
        <is>
          <t>8194</t>
        </is>
      </c>
      <c r="I158" s="33" t="inlineStr">
        <is>
          <t>No</t>
        </is>
      </c>
      <c r="J158" s="33" t="inlineStr">
        <is>
          <t>6.221 a 387.749</t>
        </is>
      </c>
      <c r="K158" s="33" t="inlineStr">
        <is>
          <t>Pública</t>
        </is>
      </c>
      <c r="L158" s="33" t="inlineStr">
        <is>
          <t>Copiado de curated/demografia/distritos_censo2021.csv (unión por codigo). Origen: Renombrado; validado: suma de tipos = t_pop.</t>
        </is>
      </c>
      <c r="M158" s="33" t="inlineStr">
        <is>
          <t>¿Cuánta gente depende de vivienda pública? (Wiki 2.4)</t>
        </is>
      </c>
    </row>
    <row r="159" ht="15.75" customHeight="1" s="24">
      <c r="A159" s="33" t="inlineStr">
        <is>
          <t>F20</t>
        </is>
      </c>
      <c r="B159" s="33" t="inlineStr">
        <is>
          <t>public/data/atlas_zonas.json</t>
        </is>
      </c>
      <c r="C159" s="33" t="inlineStr">
        <is>
          <t>geo_distritos.features[].properties.pob_vivienda_subsidiada_venta</t>
        </is>
      </c>
      <c r="D159" s="33" t="inlineStr">
        <is>
          <t>pop_s</t>
        </is>
      </c>
      <c r="E159" s="33" t="inlineStr">
        <is>
          <t>Personas que viven en vivienda subsidiada en propiedad (HOS y similares).</t>
        </is>
      </c>
      <c r="F159" s="33" t="inlineStr">
        <is>
          <t>Entero</t>
        </is>
      </c>
      <c r="G159" s="33" t="inlineStr">
        <is>
          <t>personas</t>
        </is>
      </c>
      <c r="H159" s="33" t="inlineStr">
        <is>
          <t>0</t>
        </is>
      </c>
      <c r="I159" s="33" t="inlineStr">
        <is>
          <t>No</t>
        </is>
      </c>
      <c r="J159" s="33" t="inlineStr">
        <is>
          <t>0 a 172.809</t>
        </is>
      </c>
      <c r="K159" s="33" t="inlineStr">
        <is>
          <t>Pública</t>
        </is>
      </c>
      <c r="L159" s="33" t="inlineStr">
        <is>
          <t>Copiado de curated/demografia/distritos_censo2021.csv (unión por codigo). Origen: Renombrado; el guion '-' de la fuente se convirtió en 0.</t>
        </is>
      </c>
      <c r="M159" s="33" t="inlineStr">
        <is>
          <t>¿Cuánta gente vive en vivienda subsidiada? (Wiki 2.4)</t>
        </is>
      </c>
    </row>
    <row r="160" ht="15.75" customHeight="1" s="24">
      <c r="A160" s="33" t="inlineStr">
        <is>
          <t>F20</t>
        </is>
      </c>
      <c r="B160" s="33" t="inlineStr">
        <is>
          <t>public/data/atlas_zonas.json</t>
        </is>
      </c>
      <c r="C160" s="33" t="inlineStr">
        <is>
          <t>geo_distritos.features[].properties.pob_vivienda_privada</t>
        </is>
      </c>
      <c r="D160" s="33" t="inlineStr">
        <is>
          <t>pop_pri</t>
        </is>
      </c>
      <c r="E160" s="33" t="inlineStr">
        <is>
          <t>Personas que viven en vivienda privada permanente.</t>
        </is>
      </c>
      <c r="F160" s="33" t="inlineStr">
        <is>
          <t>Entero</t>
        </is>
      </c>
      <c r="G160" s="33" t="inlineStr">
        <is>
          <t>personas</t>
        </is>
      </c>
      <c r="H160" s="33" t="inlineStr">
        <is>
          <t>222924</t>
        </is>
      </c>
      <c r="I160" s="33" t="inlineStr">
        <is>
          <t>No</t>
        </is>
      </c>
      <c r="J160" s="33" t="inlineStr">
        <is>
          <t>76.904 a 375.243</t>
        </is>
      </c>
      <c r="K160" s="33" t="inlineStr">
        <is>
          <t>Pública</t>
        </is>
      </c>
      <c r="L160" s="33" t="inlineStr">
        <is>
          <t>Copiado de curated/demografia/distritos_censo2021.csv (unión por codigo). Origen: Renombrado.</t>
        </is>
      </c>
      <c r="M160" s="33" t="inlineStr">
        <is>
          <t>¿Cuánta gente vive en vivienda privada? (Wiki 2.4)</t>
        </is>
      </c>
    </row>
    <row r="161" ht="15.75" customHeight="1" s="24">
      <c r="A161" s="33" t="inlineStr">
        <is>
          <t>F20</t>
        </is>
      </c>
      <c r="B161" s="33" t="inlineStr">
        <is>
          <t>public/data/atlas_zonas.json</t>
        </is>
      </c>
      <c r="C161" s="33" t="inlineStr">
        <is>
          <t>geo_distritos.features[].properties.pob_vivienda_temporal</t>
        </is>
      </c>
      <c r="D161" s="33" t="inlineStr">
        <is>
          <t>pop_tem</t>
        </is>
      </c>
      <c r="E161" s="33" t="inlineStr">
        <is>
          <t>Personas que viven en vivienda temporal.</t>
        </is>
      </c>
      <c r="F161" s="33" t="inlineStr">
        <is>
          <t>Entero</t>
        </is>
      </c>
      <c r="G161" s="33" t="inlineStr">
        <is>
          <t>personas</t>
        </is>
      </c>
      <c r="H161" s="33" t="inlineStr">
        <is>
          <t>138</t>
        </is>
      </c>
      <c r="I161" s="33" t="inlineStr">
        <is>
          <t>No</t>
        </is>
      </c>
      <c r="J161" s="33" t="inlineStr">
        <is>
          <t>116 a 16.408</t>
        </is>
      </c>
      <c r="K161" s="33" t="inlineStr">
        <is>
          <t>Pública</t>
        </is>
      </c>
      <c r="L161" s="33" t="inlineStr">
        <is>
          <t>Copiado de curated/demografia/distritos_censo2021.csv (unión por codigo). Origen: Renombrado.</t>
        </is>
      </c>
      <c r="M161" s="33" t="inlineStr">
        <is>
          <t>¿Dónde persiste la vivienda temporal? (Wiki 2.7)</t>
        </is>
      </c>
    </row>
    <row r="162" ht="15.75" customHeight="1" s="24">
      <c r="A162" s="33" t="inlineStr">
        <is>
          <t>F20</t>
        </is>
      </c>
      <c r="B162" s="33" t="inlineStr">
        <is>
          <t>public/data/atlas_zonas.json</t>
        </is>
      </c>
      <c r="C162" s="33" t="inlineStr">
        <is>
          <t>geo_distritos.features[].properties.pob_no_domestica</t>
        </is>
      </c>
      <c r="D162" s="33" t="inlineStr">
        <is>
          <t>pop_non</t>
        </is>
      </c>
      <c r="E162" s="33" t="inlineStr">
        <is>
          <t>Personas en alojamientos no domésticos (residencias, instituciones).</t>
        </is>
      </c>
      <c r="F162" s="33" t="inlineStr">
        <is>
          <t>Entero</t>
        </is>
      </c>
      <c r="G162" s="33" t="inlineStr">
        <is>
          <t>personas</t>
        </is>
      </c>
      <c r="H162" s="33" t="inlineStr">
        <is>
          <t>4697</t>
        </is>
      </c>
      <c r="I162" s="33" t="inlineStr">
        <is>
          <t>No</t>
        </is>
      </c>
      <c r="J162" s="33" t="inlineStr">
        <is>
          <t>1.632 a 9.894</t>
        </is>
      </c>
      <c r="K162" s="33" t="inlineStr">
        <is>
          <t>Pública</t>
        </is>
      </c>
      <c r="L162" s="33" t="inlineStr">
        <is>
          <t>Copiado de curated/demografia/distritos_censo2021.csv (unión por codigo). Origen: Renombrado.</t>
        </is>
      </c>
      <c r="M162" s="33" t="inlineStr">
        <is>
          <t>¿Cuánta población vive fuera de hogares domésticos? (Wiki 2.4)</t>
        </is>
      </c>
    </row>
    <row r="163" ht="15.75" customHeight="1" s="24">
      <c r="A163" s="33" t="inlineStr">
        <is>
          <t>F20</t>
        </is>
      </c>
      <c r="B163" s="33" t="inlineStr">
        <is>
          <t>public/data/atlas_zonas.json</t>
        </is>
      </c>
      <c r="C163" s="33" t="inlineStr">
        <is>
          <t>geo_distritos.features[].properties.pct_vivienda_publica_alquiler</t>
        </is>
      </c>
      <c r="D163" s="33" t="inlineStr">
        <is>
          <t>(calculado)</t>
        </is>
      </c>
      <c r="E163" s="33" t="inlineStr">
        <is>
          <t>Porcentaje de la población en vivienda pública de alquiler.</t>
        </is>
      </c>
      <c r="F163" s="33" t="inlineStr">
        <is>
          <t>Decimal</t>
        </is>
      </c>
      <c r="G163" s="33" t="inlineStr">
        <is>
          <t>%</t>
        </is>
      </c>
      <c r="H163" s="33" t="inlineStr">
        <is>
          <t>3.47</t>
        </is>
      </c>
      <c r="I163" s="33" t="inlineStr">
        <is>
          <t>No</t>
        </is>
      </c>
      <c r="J163" s="33" t="inlineStr">
        <is>
          <t>2,98 a 57,6</t>
        </is>
      </c>
      <c r="K163" s="33" t="inlineStr">
        <is>
          <t>Pública</t>
        </is>
      </c>
      <c r="L163" s="33" t="inlineStr">
        <is>
          <t>Copiado de curated/demografia/distritos_censo2021.csv (unión por codigo). Origen: 100 × pop_pub / t_pop.</t>
        </is>
      </c>
      <c r="M163" s="33" t="inlineStr">
        <is>
          <t>¿Qué distritos dependen más de la vivienda pública? (Wiki 2.4, 2.5)</t>
        </is>
      </c>
    </row>
    <row r="164" ht="15.75" customHeight="1" s="24">
      <c r="A164" s="33" t="inlineStr">
        <is>
          <t>F20</t>
        </is>
      </c>
      <c r="B164" s="33" t="inlineStr">
        <is>
          <t>public/data/atlas_zonas.json</t>
        </is>
      </c>
      <c r="C164" s="33" t="inlineStr">
        <is>
          <t>geo_distritos.features[].properties.pct_vivienda_subsidiada_venta</t>
        </is>
      </c>
      <c r="D164" s="33" t="inlineStr">
        <is>
          <t>(calculado)</t>
        </is>
      </c>
      <c r="E164" s="33" t="inlineStr">
        <is>
          <t>Porcentaje de la población en vivienda subsidiada en propiedad.</t>
        </is>
      </c>
      <c r="F164" s="33" t="inlineStr">
        <is>
          <t>Decimal</t>
        </is>
      </c>
      <c r="G164" s="33" t="inlineStr">
        <is>
          <t>%</t>
        </is>
      </c>
      <c r="H164" s="33" t="inlineStr">
        <is>
          <t>0.0</t>
        </is>
      </c>
      <c r="I164" s="33" t="inlineStr">
        <is>
          <t>No</t>
        </is>
      </c>
      <c r="J164" s="33" t="inlineStr">
        <is>
          <t>0 a 30,96</t>
        </is>
      </c>
      <c r="K164" s="33" t="inlineStr">
        <is>
          <t>Pública</t>
        </is>
      </c>
      <c r="L164" s="33" t="inlineStr">
        <is>
          <t>Copiado de curated/demografia/distritos_censo2021.csv (unión por codigo). Origen: 100 × pop_s / t_pop.</t>
        </is>
      </c>
      <c r="M164" s="33" t="inlineStr">
        <is>
          <t>¿Dónde pesa más la vivienda subsidiada? (Wiki 2.4)</t>
        </is>
      </c>
    </row>
    <row r="165" ht="15.75" customHeight="1" s="24">
      <c r="A165" s="33" t="inlineStr">
        <is>
          <t>F20</t>
        </is>
      </c>
      <c r="B165" s="33" t="inlineStr">
        <is>
          <t>public/data/atlas_zonas.json</t>
        </is>
      </c>
      <c r="C165" s="33" t="inlineStr">
        <is>
          <t>geo_distritos.features[].properties.pct_vivienda_privada</t>
        </is>
      </c>
      <c r="D165" s="33" t="inlineStr">
        <is>
          <t>(calculado)</t>
        </is>
      </c>
      <c r="E165" s="33" t="inlineStr">
        <is>
          <t>Porcentaje de la población en vivienda privada permanente.</t>
        </is>
      </c>
      <c r="F165" s="33" t="inlineStr">
        <is>
          <t>Decimal</t>
        </is>
      </c>
      <c r="G165" s="33" t="inlineStr">
        <is>
          <t>%</t>
        </is>
      </c>
      <c r="H165" s="33" t="inlineStr">
        <is>
          <t>94.48</t>
        </is>
      </c>
      <c r="I165" s="33" t="inlineStr">
        <is>
          <t>No</t>
        </is>
      </c>
      <c r="J165" s="33" t="inlineStr">
        <is>
          <t>18,9 a 95,22</t>
        </is>
      </c>
      <c r="K165" s="33" t="inlineStr">
        <is>
          <t>Pública</t>
        </is>
      </c>
      <c r="L165" s="33" t="inlineStr">
        <is>
          <t>Copiado de curated/demografia/distritos_censo2021.csv (unión por codigo). Origen: 100 × pop_pri / t_pop.</t>
        </is>
      </c>
      <c r="M165" s="33" t="inlineStr">
        <is>
          <t>¿Dónde domina el mercado privado de vivienda? (Wiki 2.4)</t>
        </is>
      </c>
    </row>
    <row r="166" ht="15.75" customHeight="1" s="24">
      <c r="A166" s="33" t="inlineStr">
        <is>
          <t>F20, F22</t>
        </is>
      </c>
      <c r="B166" s="33" t="inlineStr">
        <is>
          <t>public/data/atlas_zonas.json</t>
        </is>
      </c>
      <c r="C166" s="33" t="inlineStr">
        <is>
          <t>geo_distritos.features[].properties.densidad_hab_km2</t>
        </is>
      </c>
      <c r="D166" s="33" t="inlineStr">
        <is>
          <t>(calculado)</t>
        </is>
      </c>
      <c r="E166" s="33" t="inlineStr">
        <is>
          <t>Habitantes por kilómetro cuadrado de tierra.</t>
        </is>
      </c>
      <c r="F166" s="33" t="inlineStr">
        <is>
          <t>Decimal</t>
        </is>
      </c>
      <c r="G166" s="33" t="inlineStr">
        <is>
          <t>hab/km²</t>
        </is>
      </c>
      <c r="H166" s="33" t="inlineStr">
        <is>
          <t>18801.0</t>
        </is>
      </c>
      <c r="I166" s="33" t="inlineStr">
        <is>
          <t>No</t>
        </is>
      </c>
      <c r="J166" s="33" t="inlineStr">
        <is>
          <t>1.014 a 5,968e+04</t>
        </is>
      </c>
      <c r="K166" s="33" t="inlineStr">
        <is>
          <t>Pública</t>
        </is>
      </c>
      <c r="L166" s="33" t="inlineStr">
        <is>
          <t>Copiado de curated/demografia/distritos_censo2021.csv (unión por codigo). Origen: poblacion_2021 / area_km2_oficial, redondeado a entero.</t>
        </is>
      </c>
      <c r="M166" s="33" t="inlineStr">
        <is>
          <t>¿Qué tan denso es cada distrito? (Wiki 1.2)</t>
        </is>
      </c>
    </row>
    <row r="167" ht="15.75" customHeight="1" s="24">
      <c r="A167" s="33" t="inlineStr">
        <is>
          <t>F21</t>
        </is>
      </c>
      <c r="B167" s="33" t="inlineStr">
        <is>
          <t>public/data/atlas_zonas.json</t>
        </is>
      </c>
      <c r="C167" s="33" t="inlineStr">
        <is>
          <t>geo_distritos.features[].properties.poblacion_2025</t>
        </is>
      </c>
      <c r="D167" s="33" t="inlineStr">
        <is>
          <t>my_lp (year=2025)</t>
        </is>
      </c>
      <c r="E167" s="33" t="inlineStr">
        <is>
          <t>Población terrestre a mitad de 2025 según la Encuesta General de Hogares.</t>
        </is>
      </c>
      <c r="F167" s="33" t="inlineStr">
        <is>
          <t>Entero</t>
        </is>
      </c>
      <c r="G167" s="33" t="inlineStr">
        <is>
          <t>personas</t>
        </is>
      </c>
      <c r="H167" s="33" t="inlineStr">
        <is>
          <t>231900</t>
        </is>
      </c>
      <c r="I167" s="33" t="inlineStr">
        <is>
          <t>No</t>
        </is>
      </c>
      <c r="J167" s="33" t="inlineStr">
        <is>
          <t>163.000 a 692.400</t>
        </is>
      </c>
      <c r="K167" s="33" t="inlineStr">
        <is>
          <t>Pública</t>
        </is>
      </c>
      <c r="L167" s="33" t="inlineStr">
        <is>
          <t>Copiado de curated/demografia/distritos_censo2021.csv (unión por codigo). Origen: Filtrado al último año y unido por código.</t>
        </is>
      </c>
      <c r="M167" s="33" t="inlineStr">
        <is>
          <t>¿Cuánta gente vive hoy en cada distrito? (Wiki 1)</t>
        </is>
      </c>
    </row>
    <row r="168" ht="15.75" customHeight="1" s="24">
      <c r="A168" s="33" t="inlineStr">
        <is>
          <t>F21</t>
        </is>
      </c>
      <c r="B168" s="33" t="inlineStr">
        <is>
          <t>public/data/atlas_zonas.json</t>
        </is>
      </c>
      <c r="C168" s="33" t="inlineStr">
        <is>
          <t>geo_distritos.features[].properties.var_pob_2016_2025_pct</t>
        </is>
      </c>
      <c r="D168" s="33" t="inlineStr">
        <is>
          <t>(calculado de my_lp)</t>
        </is>
      </c>
      <c r="E168" s="33" t="inlineStr">
        <is>
          <t>Variación porcentual de la población terrestre entre 2016 y 2025.</t>
        </is>
      </c>
      <c r="F168" s="33" t="inlineStr">
        <is>
          <t>Decimal</t>
        </is>
      </c>
      <c r="G168" s="33" t="inlineStr">
        <is>
          <t>%</t>
        </is>
      </c>
      <c r="H168" s="33" t="inlineStr">
        <is>
          <t>-4.69</t>
        </is>
      </c>
      <c r="I168" s="33" t="inlineStr">
        <is>
          <t>No</t>
        </is>
      </c>
      <c r="J168" s="33" t="inlineStr">
        <is>
          <t>-12,07 a 26,53</t>
        </is>
      </c>
      <c r="K168" s="33" t="inlineStr">
        <is>
          <t>Pública</t>
        </is>
      </c>
      <c r="L168" s="33" t="inlineStr">
        <is>
          <t>Copiado de curated/demografia/distritos_censo2021.csv (unión por codigo). Origen: 100 × (my_lp 2025 / my_lp 2016 − 1).</t>
        </is>
      </c>
      <c r="M168" s="33" t="inlineStr">
        <is>
          <t>¿Qué distritos crecen y cuáles pierden población? (Wiki 1.1, 1.9)</t>
        </is>
      </c>
    </row>
    <row r="169" ht="15.75" customHeight="1" s="24">
      <c r="A169" s="33" t="inlineStr">
        <is>
          <t>F20</t>
        </is>
      </c>
      <c r="B169" s="33" t="inlineStr">
        <is>
          <t>public/data/atlas_zonas.json</t>
        </is>
      </c>
      <c r="C169" s="33" t="inlineStr">
        <is>
          <t>geo_distritos.features[].properties.ingreso_mediano_hogar_hkd_2021</t>
        </is>
      </c>
      <c r="D169" s="33" t="inlineStr">
        <is>
          <t>ma_hh</t>
        </is>
      </c>
      <c r="E169" s="33" t="inlineStr">
        <is>
          <t>Ingreso mensual mediano de los hogares domésticos en 2021.</t>
        </is>
      </c>
      <c r="F169" s="33" t="inlineStr">
        <is>
          <t>Entero</t>
        </is>
      </c>
      <c r="G169" s="33" t="inlineStr">
        <is>
          <t>HK$ por mes</t>
        </is>
      </c>
      <c r="H169" s="33" t="inlineStr">
        <is>
          <t>45040</t>
        </is>
      </c>
      <c r="I169" s="33" t="inlineStr">
        <is>
          <t>No</t>
        </is>
      </c>
      <c r="J169" s="33" t="inlineStr">
        <is>
          <t>21.490 a 45.040</t>
        </is>
      </c>
      <c r="K169" s="33" t="inlineStr">
        <is>
          <t>Pública</t>
        </is>
      </c>
      <c r="L169" s="33" t="inlineStr">
        <is>
          <t>Copiado de curated/economia/distritos_economia.csv (unión por codigo). Origen: Renombrado.</t>
        </is>
      </c>
      <c r="M169" s="33" t="inlineStr">
        <is>
          <t>¿Qué distritos son más ricos o más pobres? (Wiki 1.7)</t>
        </is>
      </c>
    </row>
    <row r="170" ht="15.75" customHeight="1" s="24">
      <c r="A170" s="33" t="inlineStr">
        <is>
          <t>F20</t>
        </is>
      </c>
      <c r="B170" s="33" t="inlineStr">
        <is>
          <t>public/data/atlas_zonas.json</t>
        </is>
      </c>
      <c r="C170" s="33" t="inlineStr">
        <is>
          <t>geo_distritos.features[].properties.ingreso_mediano_hogar_econ_activo_hkd_2021</t>
        </is>
      </c>
      <c r="D170" s="33" t="inlineStr">
        <is>
          <t>ma_econhh</t>
        </is>
      </c>
      <c r="E170" s="33" t="inlineStr">
        <is>
          <t>Ingreso mensual mediano de hogares con al menos un miembro económicamente activo (2021).</t>
        </is>
      </c>
      <c r="F170" s="33" t="inlineStr">
        <is>
          <t>Entero</t>
        </is>
      </c>
      <c r="G170" s="33" t="inlineStr">
        <is>
          <t>HK$ por mes</t>
        </is>
      </c>
      <c r="H170" s="33" t="inlineStr">
        <is>
          <t>57350</t>
        </is>
      </c>
      <c r="I170" s="33" t="inlineStr">
        <is>
          <t>No</t>
        </is>
      </c>
      <c r="J170" s="33" t="inlineStr">
        <is>
          <t>28.540 a 60.070</t>
        </is>
      </c>
      <c r="K170" s="33" t="inlineStr">
        <is>
          <t>Pública</t>
        </is>
      </c>
      <c r="L170" s="33" t="inlineStr">
        <is>
          <t>Copiado de curated/economia/distritos_economia.csv (unión por codigo). Origen: Renombrado.</t>
        </is>
      </c>
      <c r="M170" s="33" t="inlineStr">
        <is>
          <t>¿Cómo cambia la brecha de ingreso al excluir hogares sin trabajadores? (Wiki 1.7)</t>
        </is>
      </c>
    </row>
    <row r="171" ht="15.75" customHeight="1" s="24">
      <c r="A171" s="33" t="inlineStr">
        <is>
          <t>F20</t>
        </is>
      </c>
      <c r="B171" s="33" t="inlineStr">
        <is>
          <t>public/data/atlas_zonas.json</t>
        </is>
      </c>
      <c r="C171" s="33" t="inlineStr">
        <is>
          <t>geo_distritos.features[].properties.ingreso_mediano_mensual_empleo_hkd_2021</t>
        </is>
      </c>
      <c r="D171" s="33" t="inlineStr">
        <is>
          <t>t_mmearn</t>
        </is>
      </c>
      <c r="E171" s="33" t="inlineStr">
        <is>
          <t>Ingreso mensual mediano por empleo principal de la población ocupada (2021).</t>
        </is>
      </c>
      <c r="F171" s="33" t="inlineStr">
        <is>
          <t>Entero</t>
        </is>
      </c>
      <c r="G171" s="33" t="inlineStr">
        <is>
          <t>HK$ por mes</t>
        </is>
      </c>
      <c r="H171" s="33" t="inlineStr">
        <is>
          <t>21250</t>
        </is>
      </c>
      <c r="I171" s="33" t="inlineStr">
        <is>
          <t>No</t>
        </is>
      </c>
      <c r="J171" s="33" t="inlineStr">
        <is>
          <t>16.000 a 21.250</t>
        </is>
      </c>
      <c r="K171" s="33" t="inlineStr">
        <is>
          <t>Pública</t>
        </is>
      </c>
      <c r="L171" s="33" t="inlineStr">
        <is>
          <t>Copiado de curated/economia/distritos_economia.csv (unión por codigo). Origen: Renombrado.</t>
        </is>
      </c>
      <c r="M171" s="33" t="inlineStr">
        <is>
          <t>¿Cuánto gana un trabajador típico de cada distrito? (Wiki 1.7)</t>
        </is>
      </c>
    </row>
    <row r="172" ht="15.75" customHeight="1" s="24">
      <c r="A172" s="33" t="inlineStr">
        <is>
          <t>F20</t>
        </is>
      </c>
      <c r="B172" s="33" t="inlineStr">
        <is>
          <t>public/data/atlas_zonas.json</t>
        </is>
      </c>
      <c r="C172" s="33" t="inlineStr">
        <is>
          <t>geo_distritos.features[].properties.tasa_participacion_laboral_pct_2021</t>
        </is>
      </c>
      <c r="D172" s="33" t="inlineStr">
        <is>
          <t>lfpr_t</t>
        </is>
      </c>
      <c r="E172" s="33" t="inlineStr">
        <is>
          <t>Porcentaje de la población de 15+ que trabaja o busca trabajo (2021).</t>
        </is>
      </c>
      <c r="F172" s="33" t="inlineStr">
        <is>
          <t>Decimal</t>
        </is>
      </c>
      <c r="G172" s="33" t="inlineStr">
        <is>
          <t>%</t>
        </is>
      </c>
      <c r="H172" s="33" t="inlineStr">
        <is>
          <t>65.3</t>
        </is>
      </c>
      <c r="I172" s="33" t="inlineStr">
        <is>
          <t>No</t>
        </is>
      </c>
      <c r="J172" s="33" t="inlineStr">
        <is>
          <t>56,4 a 65,3</t>
        </is>
      </c>
      <c r="K172" s="33" t="inlineStr">
        <is>
          <t>Pública</t>
        </is>
      </c>
      <c r="L172" s="33" t="inlineStr">
        <is>
          <t>Copiado de curated/economia/distritos_economia.csv (unión por codigo). Origen: Renombrado.</t>
        </is>
      </c>
      <c r="M172" s="33" t="inlineStr">
        <is>
          <t>¿Qué tan activa es la población en el mercado laboral?</t>
        </is>
      </c>
    </row>
    <row r="173" ht="15.75" customHeight="1" s="24">
      <c r="A173" s="33" t="inlineStr">
        <is>
          <t>F20</t>
        </is>
      </c>
      <c r="B173" s="33" t="inlineStr">
        <is>
          <t>public/data/atlas_zonas.json</t>
        </is>
      </c>
      <c r="C173" s="33" t="inlineStr">
        <is>
          <t>geo_distritos.features[].properties.fuerza_laboral_2021</t>
        </is>
      </c>
      <c r="D173" s="33" t="inlineStr">
        <is>
          <t>t_lf</t>
        </is>
      </c>
      <c r="E173" s="33" t="inlineStr">
        <is>
          <t>Personas en la fuerza laboral (ocupadas + desocupadas) en 2021.</t>
        </is>
      </c>
      <c r="F173" s="33" t="inlineStr">
        <is>
          <t>Entero</t>
        </is>
      </c>
      <c r="G173" s="33" t="inlineStr">
        <is>
          <t>personas</t>
        </is>
      </c>
      <c r="H173" s="33" t="inlineStr">
        <is>
          <t>138216</t>
        </is>
      </c>
      <c r="I173" s="33" t="inlineStr">
        <is>
          <t>No</t>
        </is>
      </c>
      <c r="J173" s="33" t="inlineStr">
        <is>
          <t>95.914 a 363.268</t>
        </is>
      </c>
      <c r="K173" s="33" t="inlineStr">
        <is>
          <t>Pública</t>
        </is>
      </c>
      <c r="L173" s="33" t="inlineStr">
        <is>
          <t>Copiado de curated/economia/distritos_economia.csv (unión por codigo). Origen: Renombrado.</t>
        </is>
      </c>
      <c r="M173" s="33" t="inlineStr">
        <is>
          <t>¿Cuánta fuerza laboral tiene cada distrito?</t>
        </is>
      </c>
    </row>
    <row r="174" ht="15.75" customHeight="1" s="24">
      <c r="A174" s="33" t="inlineStr">
        <is>
          <t>F20</t>
        </is>
      </c>
      <c r="B174" s="33" t="inlineStr">
        <is>
          <t>public/data/atlas_zonas.json</t>
        </is>
      </c>
      <c r="C174" s="33" t="inlineStr">
        <is>
          <t>geo_distritos.features[].properties.poblacion_ocupada_2021</t>
        </is>
      </c>
      <c r="D174" s="33" t="inlineStr">
        <is>
          <t>t_wp</t>
        </is>
      </c>
      <c r="E174" s="33" t="inlineStr">
        <is>
          <t>Personas ocupadas residentes en el distrito en 2021.</t>
        </is>
      </c>
      <c r="F174" s="33" t="inlineStr">
        <is>
          <t>Entero</t>
        </is>
      </c>
      <c r="G174" s="33" t="inlineStr">
        <is>
          <t>personas</t>
        </is>
      </c>
      <c r="H174" s="33" t="inlineStr">
        <is>
          <t>132881</t>
        </is>
      </c>
      <c r="I174" s="33" t="inlineStr">
        <is>
          <t>No</t>
        </is>
      </c>
      <c r="J174" s="33" t="inlineStr">
        <is>
          <t>92.238 a 340.605</t>
        </is>
      </c>
      <c r="K174" s="33" t="inlineStr">
        <is>
          <t>Pública</t>
        </is>
      </c>
      <c r="L174" s="33" t="inlineStr">
        <is>
          <t>Copiado de curated/economia/distritos_economia.csv (unión por codigo). Origen: Renombrado.</t>
        </is>
      </c>
      <c r="M174" s="33" t="inlineStr">
        <is>
          <t>¿Cuántos trabajadores residen en cada distrito?</t>
        </is>
      </c>
    </row>
    <row r="175" ht="15.75" customHeight="1" s="24">
      <c r="A175" s="33" t="inlineStr">
        <is>
          <t>F20</t>
        </is>
      </c>
      <c r="B175" s="33" t="inlineStr">
        <is>
          <t>public/data/atlas_zonas.json</t>
        </is>
      </c>
      <c r="C175" s="33" t="inlineStr">
        <is>
          <t>geo_distritos.features[].properties.tasa_ocupacion_sobre_fuerza_laboral_pct</t>
        </is>
      </c>
      <c r="D175" s="33" t="inlineStr">
        <is>
          <t>(calculado)</t>
        </is>
      </c>
      <c r="E175" s="33" t="inlineStr">
        <is>
          <t>Porcentaje de la fuerza laboral que está ocupada (100 − desempleo aproximado).</t>
        </is>
      </c>
      <c r="F175" s="33" t="inlineStr">
        <is>
          <t>Decimal</t>
        </is>
      </c>
      <c r="G175" s="33" t="inlineStr">
        <is>
          <t>%</t>
        </is>
      </c>
      <c r="H175" s="33" t="inlineStr">
        <is>
          <t>96.14</t>
        </is>
      </c>
      <c r="I175" s="33" t="inlineStr">
        <is>
          <t>No</t>
        </is>
      </c>
      <c r="J175" s="33" t="inlineStr">
        <is>
          <t>91,68 a 96,17</t>
        </is>
      </c>
      <c r="K175" s="33" t="inlineStr">
        <is>
          <t>Pública</t>
        </is>
      </c>
      <c r="L175" s="33" t="inlineStr">
        <is>
          <t>Copiado de curated/economia/distritos_economia.csv (unión por codigo). Origen: 100 × t_wp / t_lf.</t>
        </is>
      </c>
      <c r="M175" s="33" t="inlineStr">
        <is>
          <t>¿Dónde es mayor el desempleo relativo?</t>
        </is>
      </c>
    </row>
    <row r="176" ht="15.75" customHeight="1" s="24">
      <c r="A176" s="33" t="inlineStr">
        <is>
          <t>F21</t>
        </is>
      </c>
      <c r="B176" s="33" t="inlineStr">
        <is>
          <t>public/data/atlas_zonas.json</t>
        </is>
      </c>
      <c r="C176" s="33" t="inlineStr">
        <is>
          <t>geo_distritos.features[].properties.ingreso_mediano_hogar_hkd_2025</t>
        </is>
      </c>
      <c r="D176" s="33" t="inlineStr">
        <is>
          <t>ma_hh (year=2025)</t>
        </is>
      </c>
      <c r="E176" s="33" t="inlineStr">
        <is>
          <t>Ingreso mensual mediano de los hogares domésticos en 2025.</t>
        </is>
      </c>
      <c r="F176" s="33" t="inlineStr">
        <is>
          <t>Entero</t>
        </is>
      </c>
      <c r="G176" s="33" t="inlineStr">
        <is>
          <t>HK$ por mes</t>
        </is>
      </c>
      <c r="H176" s="33" t="inlineStr">
        <is>
          <t>45000</t>
        </is>
      </c>
      <c r="I176" s="33" t="inlineStr">
        <is>
          <t>No</t>
        </is>
      </c>
      <c r="J176" s="33" t="inlineStr">
        <is>
          <t>24.900 a 45.000</t>
        </is>
      </c>
      <c r="K176" s="33" t="inlineStr">
        <is>
          <t>Pública</t>
        </is>
      </c>
      <c r="L176" s="33" t="inlineStr">
        <is>
          <t>Copiado de curated/economia/distritos_economia.csv (unión por codigo). Origen: Filtrado al último año del panel GHS.</t>
        </is>
      </c>
      <c r="M176" s="33" t="inlineStr">
        <is>
          <t>¿Qué distritos tienen menor ingreso hoy? (Wiki 1.7)</t>
        </is>
      </c>
    </row>
    <row r="177" ht="15.75" customHeight="1" s="24">
      <c r="A177" s="33" t="inlineStr">
        <is>
          <t>F21</t>
        </is>
      </c>
      <c r="B177" s="33" t="inlineStr">
        <is>
          <t>public/data/atlas_zonas.json</t>
        </is>
      </c>
      <c r="C177" s="33" t="inlineStr">
        <is>
          <t>geo_distritos.features[].properties.tasa_participacion_laboral_pct_2025</t>
        </is>
      </c>
      <c r="D177" s="33" t="inlineStr">
        <is>
          <t>t_lfpr (year=2025)</t>
        </is>
      </c>
      <c r="E177" s="33" t="inlineStr">
        <is>
          <t>Tasa de participación laboral en 2025.</t>
        </is>
      </c>
      <c r="F177" s="33" t="inlineStr">
        <is>
          <t>Decimal</t>
        </is>
      </c>
      <c r="G177" s="33" t="inlineStr">
        <is>
          <t>%</t>
        </is>
      </c>
      <c r="H177" s="33" t="inlineStr">
        <is>
          <t>60.1</t>
        </is>
      </c>
      <c r="I177" s="33" t="inlineStr">
        <is>
          <t>No</t>
        </is>
      </c>
      <c r="J177" s="33" t="inlineStr">
        <is>
          <t>52,7 a 62,7</t>
        </is>
      </c>
      <c r="K177" s="33" t="inlineStr">
        <is>
          <t>Pública</t>
        </is>
      </c>
      <c r="L177" s="33" t="inlineStr">
        <is>
          <t>Copiado de curated/economia/distritos_economia.csv (unión por codigo). Origen: Filtrado al último año del panel GHS.</t>
        </is>
      </c>
      <c r="M177" s="33" t="inlineStr">
        <is>
          <t>¿Cómo está hoy la participación laboral por distrito?</t>
        </is>
      </c>
    </row>
    <row r="178" ht="15.75" customHeight="1" s="24">
      <c r="A178" s="33" t="inlineStr">
        <is>
          <t>F21</t>
        </is>
      </c>
      <c r="B178" s="33" t="inlineStr">
        <is>
          <t>public/data/atlas_zonas.json</t>
        </is>
      </c>
      <c r="C178" s="33" t="inlineStr">
        <is>
          <t>geo_distritos.features[].properties.var_ingreso_2016_2025_pct</t>
        </is>
      </c>
      <c r="D178" s="33" t="inlineStr">
        <is>
          <t>(calculado de ma_hh)</t>
        </is>
      </c>
      <c r="E178" s="33" t="inlineStr">
        <is>
          <t>Variación porcentual nominal del ingreso mediano del hogar entre 2016 y 2025.</t>
        </is>
      </c>
      <c r="F178" s="33" t="inlineStr">
        <is>
          <t>Decimal</t>
        </is>
      </c>
      <c r="G178" s="33" t="inlineStr">
        <is>
          <t>%</t>
        </is>
      </c>
      <c r="H178" s="33" t="inlineStr">
        <is>
          <t>13.92</t>
        </is>
      </c>
      <c r="I178" s="33" t="inlineStr">
        <is>
          <t>No</t>
        </is>
      </c>
      <c r="J178" s="33" t="inlineStr">
        <is>
          <t>6,71 a 31,58</t>
        </is>
      </c>
      <c r="K178" s="33" t="inlineStr">
        <is>
          <t>Pública</t>
        </is>
      </c>
      <c r="L178" s="33" t="inlineStr">
        <is>
          <t>Copiado de curated/economia/distritos_economia.csv (unión por codigo). Origen: 100 × (ma_hh 2025 / ma_hh 2016 − 1); no ajustado por inflación.</t>
        </is>
      </c>
      <c r="M178" s="33" t="inlineStr">
        <is>
          <t>¿Dónde creció más el ingreso? (Wiki 1.7)</t>
        </is>
      </c>
    </row>
    <row r="179" ht="15.75" customHeight="1" s="24">
      <c r="A179" s="33" t="inlineStr">
        <is>
          <t>F21</t>
        </is>
      </c>
      <c r="B179" s="33" t="inlineStr">
        <is>
          <t>public/data/atlas_zonas.json</t>
        </is>
      </c>
      <c r="C179" s="33" t="inlineStr">
        <is>
          <t>geo_distritos.features[].properties.indice_ingreso_vs_mediana_distritos</t>
        </is>
      </c>
      <c r="D179" s="33" t="inlineStr">
        <is>
          <t>(calculado)</t>
        </is>
      </c>
      <c r="E179" s="33" t="inlineStr">
        <is>
          <t>Ingreso mediano del hogar 2025 relativo a la mediana de los 18 distritos (=100).</t>
        </is>
      </c>
      <c r="F179" s="33" t="inlineStr">
        <is>
          <t>Decimal</t>
        </is>
      </c>
      <c r="G179" s="33" t="inlineStr">
        <is>
          <t>índice (mediana = 100)</t>
        </is>
      </c>
      <c r="H179" s="33" t="inlineStr">
        <is>
          <t>145.2</t>
        </is>
      </c>
      <c r="I179" s="33" t="inlineStr">
        <is>
          <t>No</t>
        </is>
      </c>
      <c r="J179" s="33" t="inlineStr">
        <is>
          <t>80,3 a 145,2</t>
        </is>
      </c>
      <c r="K179" s="33" t="inlineStr">
        <is>
          <t>Pública</t>
        </is>
      </c>
      <c r="L179" s="33" t="inlineStr">
        <is>
          <t>Copiado de curated/economia/distritos_economia.csv (unión por codigo). Origen: 100 × ingreso 2025 / mediana de los 18 valores.</t>
        </is>
      </c>
      <c r="M179" s="33" t="inlineStr">
        <is>
          <t>¿Qué tan por encima o debajo del típico está cada distrito?</t>
        </is>
      </c>
    </row>
    <row r="180" ht="15.75" customHeight="1" s="24">
      <c r="A180" s="33" t="inlineStr">
        <is>
          <t>F19, F20, F21, F22, F23, F24, F25, F27, F32</t>
        </is>
      </c>
      <c r="B180" s="33" t="inlineStr">
        <is>
          <t>public/data/atlas_zonas.json</t>
        </is>
      </c>
      <c r="C180" s="33" t="inlineStr">
        <is>
          <t>geo_distritos.features[].properties.paradas_transporte</t>
        </is>
      </c>
      <c r="D180" s="33" t="inlineStr">
        <is>
          <t>(calculado)</t>
        </is>
      </c>
      <c r="E180" s="33" t="inlineStr">
        <is>
          <t>Número de paradas de transporte público con rutas activas.</t>
        </is>
      </c>
      <c r="F180" s="33" t="inlineStr">
        <is>
          <t>Entero</t>
        </is>
      </c>
      <c r="G180" s="33" t="inlineStr">
        <is>
          <t>paradas</t>
        </is>
      </c>
      <c r="H180" s="33" t="inlineStr">
        <is>
          <t>676</t>
        </is>
      </c>
      <c r="I180" s="33" t="inlineStr">
        <is>
          <t>No</t>
        </is>
      </c>
      <c r="J180" s="33" t="inlineStr">
        <is>
          <t>461 a 1.446</t>
        </is>
      </c>
      <c r="K180" s="33" t="inlineStr">
        <is>
          <t>Pública</t>
        </is>
      </c>
      <c r="L180" s="33" t="inlineStr">
        <is>
          <t>Conteo de paradas por código de distrito o DCCA.</t>
        </is>
      </c>
      <c r="M180" s="33" t="inlineStr">
        <is>
          <t>¿Qué zonas tienen más oferta de transporte?</t>
        </is>
      </c>
    </row>
    <row r="181" ht="15.75" customHeight="1" s="24">
      <c r="A181" s="33" t="inlineStr">
        <is>
          <t>F23</t>
        </is>
      </c>
      <c r="B181" s="33" t="inlineStr">
        <is>
          <t>public/data/atlas_zonas.json</t>
        </is>
      </c>
      <c r="C181" s="33" t="inlineStr">
        <is>
          <t>geo_distritos.features[].properties.paradas_bus</t>
        </is>
      </c>
      <c r="D181" s="33" t="inlineStr">
        <is>
          <t>(calculado)</t>
        </is>
      </c>
      <c r="E181" s="33" t="inlineStr">
        <is>
          <t>Paradas servidas por bus.</t>
        </is>
      </c>
      <c r="F181" s="33" t="inlineStr">
        <is>
          <t>Entero</t>
        </is>
      </c>
      <c r="G181" s="33" t="inlineStr">
        <is>
          <t>paradas</t>
        </is>
      </c>
      <c r="H181" s="33" t="inlineStr">
        <is>
          <t>664</t>
        </is>
      </c>
      <c r="I181" s="33" t="inlineStr">
        <is>
          <t>No</t>
        </is>
      </c>
      <c r="J181" s="33" t="inlineStr">
        <is>
          <t>448 a 1.416</t>
        </is>
      </c>
      <c r="K181" s="33" t="inlineStr">
        <is>
          <t>Pública</t>
        </is>
      </c>
      <c r="L181" s="33" t="inlineStr">
        <is>
          <t>Copiado de curated/infraestructura/distritos_infraestructura.csv (unión por codigo). Origen: Conteo de paradas cuyo campo modos contiene 'bus'.</t>
        </is>
      </c>
      <c r="M181" s="33" t="inlineStr">
        <is>
          <t>¿Dónde hay más cobertura de bus?</t>
        </is>
      </c>
    </row>
    <row r="182" ht="15.75" customHeight="1" s="24">
      <c r="A182" s="33" t="inlineStr">
        <is>
          <t>F23</t>
        </is>
      </c>
      <c r="B182" s="33" t="inlineStr">
        <is>
          <t>public/data/atlas_zonas.json</t>
        </is>
      </c>
      <c r="C182" s="33" t="inlineStr">
        <is>
          <t>geo_distritos.features[].properties.paradas_minibus</t>
        </is>
      </c>
      <c r="D182" s="33" t="inlineStr">
        <is>
          <t>(calculado)</t>
        </is>
      </c>
      <c r="E182" s="33" t="inlineStr">
        <is>
          <t>Paradas servidas por minibús verde (GMB).</t>
        </is>
      </c>
      <c r="F182" s="33" t="inlineStr">
        <is>
          <t>Entero</t>
        </is>
      </c>
      <c r="G182" s="33" t="inlineStr">
        <is>
          <t>paradas</t>
        </is>
      </c>
      <c r="H182" s="33" t="inlineStr">
        <is>
          <t>198</t>
        </is>
      </c>
      <c r="I182" s="33" t="inlineStr">
        <is>
          <t>No</t>
        </is>
      </c>
      <c r="J182" s="33" t="inlineStr">
        <is>
          <t>18 a 580</t>
        </is>
      </c>
      <c r="K182" s="33" t="inlineStr">
        <is>
          <t>Pública</t>
        </is>
      </c>
      <c r="L182" s="33" t="inlineStr">
        <is>
          <t>Copiado de curated/infraestructura/distritos_infraestructura.csv (unión por codigo). Origen: Conteo de paradas con modo 'minibus'.</t>
        </is>
      </c>
      <c r="M182" s="33" t="inlineStr">
        <is>
          <t>¿Dónde depende la gente del minibús?</t>
        </is>
      </c>
    </row>
    <row r="183" ht="15.75" customHeight="1" s="24">
      <c r="A183" s="33" t="inlineStr">
        <is>
          <t>F23</t>
        </is>
      </c>
      <c r="B183" s="33" t="inlineStr">
        <is>
          <t>public/data/atlas_zonas.json</t>
        </is>
      </c>
      <c r="C183" s="33" t="inlineStr">
        <is>
          <t>geo_distritos.features[].properties.paradas_metro_mtr</t>
        </is>
      </c>
      <c r="D183" s="33" t="inlineStr">
        <is>
          <t>(calculado)</t>
        </is>
      </c>
      <c r="E183" s="33" t="inlineStr">
        <is>
          <t>Estaciones del MTR (ferrocarril pesado).</t>
        </is>
      </c>
      <c r="F183" s="33" t="inlineStr">
        <is>
          <t>Entero</t>
        </is>
      </c>
      <c r="G183" s="33" t="inlineStr">
        <is>
          <t>estaciones</t>
        </is>
      </c>
      <c r="H183" s="33" t="inlineStr">
        <is>
          <t>7</t>
        </is>
      </c>
      <c r="I183" s="33" t="inlineStr">
        <is>
          <t>No</t>
        </is>
      </c>
      <c r="J183" s="33" t="inlineStr">
        <is>
          <t>2 a 13</t>
        </is>
      </c>
      <c r="K183" s="33" t="inlineStr">
        <is>
          <t>Pública</t>
        </is>
      </c>
      <c r="L183" s="33" t="inlineStr">
        <is>
          <t>Copiado de curated/infraestructura/distritos_infraestructura.csv (unión por codigo). Origen: Conteo de paradas con modo 'metro_mtr'.</t>
        </is>
      </c>
      <c r="M183" s="33" t="inlineStr">
        <is>
          <t>¿Qué distritos tienen más acceso al metro?</t>
        </is>
      </c>
    </row>
    <row r="184" ht="15.75" customHeight="1" s="24">
      <c r="A184" s="33" t="inlineStr">
        <is>
          <t>F23</t>
        </is>
      </c>
      <c r="B184" s="33" t="inlineStr">
        <is>
          <t>public/data/atlas_zonas.json</t>
        </is>
      </c>
      <c r="C184" s="33" t="inlineStr">
        <is>
          <t>geo_distritos.features[].properties.paradas_tren_ligero</t>
        </is>
      </c>
      <c r="D184" s="33" t="inlineStr">
        <is>
          <t>(calculado)</t>
        </is>
      </c>
      <c r="E184" s="33" t="inlineStr">
        <is>
          <t>Paradas del tren ligero (Light Rail).</t>
        </is>
      </c>
      <c r="F184" s="33" t="inlineStr">
        <is>
          <t>Entero</t>
        </is>
      </c>
      <c r="G184" s="33" t="inlineStr">
        <is>
          <t>paradas</t>
        </is>
      </c>
      <c r="H184" s="33" t="inlineStr">
        <is>
          <t>0</t>
        </is>
      </c>
      <c r="I184" s="33" t="inlineStr">
        <is>
          <t>No</t>
        </is>
      </c>
      <c r="J184" s="33" t="inlineStr">
        <is>
          <t>0 a 55</t>
        </is>
      </c>
      <c r="K184" s="33" t="inlineStr">
        <is>
          <t>Pública</t>
        </is>
      </c>
      <c r="L184" s="33" t="inlineStr">
        <is>
          <t>Copiado de curated/infraestructura/distritos_infraestructura.csv (unión por codigo). Origen: Conteo de paradas con modo 'tren_ligero'.</t>
        </is>
      </c>
      <c r="M184" s="33" t="inlineStr">
        <is>
          <t>¿Dónde opera el tren ligero?</t>
        </is>
      </c>
    </row>
    <row r="185" ht="15.75" customHeight="1" s="24">
      <c r="A185" s="33" t="inlineStr">
        <is>
          <t>F23</t>
        </is>
      </c>
      <c r="B185" s="33" t="inlineStr">
        <is>
          <t>public/data/atlas_zonas.json</t>
        </is>
      </c>
      <c r="C185" s="33" t="inlineStr">
        <is>
          <t>geo_distritos.features[].properties.paradas_ferry</t>
        </is>
      </c>
      <c r="D185" s="33" t="inlineStr">
        <is>
          <t>(calculado)</t>
        </is>
      </c>
      <c r="E185" s="33" t="inlineStr">
        <is>
          <t>Muelles servidos por ferris.</t>
        </is>
      </c>
      <c r="F185" s="33" t="inlineStr">
        <is>
          <t>Entero</t>
        </is>
      </c>
      <c r="G185" s="33" t="inlineStr">
        <is>
          <t>muelles</t>
        </is>
      </c>
      <c r="H185" s="33" t="inlineStr">
        <is>
          <t>5</t>
        </is>
      </c>
      <c r="I185" s="33" t="inlineStr">
        <is>
          <t>No</t>
        </is>
      </c>
      <c r="J185" s="33" t="inlineStr">
        <is>
          <t>0 a 10</t>
        </is>
      </c>
      <c r="K185" s="33" t="inlineStr">
        <is>
          <t>Pública</t>
        </is>
      </c>
      <c r="L185" s="33" t="inlineStr">
        <is>
          <t>Copiado de curated/infraestructura/distritos_infraestructura.csv (unión por codigo). Origen: Conteo de paradas con modo 'ferry'.</t>
        </is>
      </c>
      <c r="M185" s="33" t="inlineStr">
        <is>
          <t>¿Qué zonas dependen del ferry?</t>
        </is>
      </c>
    </row>
    <row r="186" ht="15.75" customHeight="1" s="24">
      <c r="A186" s="33" t="inlineStr">
        <is>
          <t>F24</t>
        </is>
      </c>
      <c r="B186" s="33" t="inlineStr">
        <is>
          <t>public/data/atlas_zonas.json</t>
        </is>
      </c>
      <c r="C186" s="33" t="inlineStr">
        <is>
          <t>geo_distritos.features[].properties.hospitales_urgencias</t>
        </is>
      </c>
      <c r="D186" s="33" t="inlineStr">
        <is>
          <t>(calculado)</t>
        </is>
      </c>
      <c r="E186" s="33" t="inlineStr">
        <is>
          <t>Hospitales públicos con urgencias ubicados en el distrito.</t>
        </is>
      </c>
      <c r="F186" s="33" t="inlineStr">
        <is>
          <t>Entero</t>
        </is>
      </c>
      <c r="G186" s="33" t="inlineStr">
        <is>
          <t>hospitales</t>
        </is>
      </c>
      <c r="H186" s="33" t="inlineStr">
        <is>
          <t>0</t>
        </is>
      </c>
      <c r="I186" s="33" t="inlineStr">
        <is>
          <t>No</t>
        </is>
      </c>
      <c r="J186" s="33" t="inlineStr">
        <is>
          <t>0 a 2</t>
        </is>
      </c>
      <c r="K186" s="33" t="inlineStr">
        <is>
          <t>Pública</t>
        </is>
      </c>
      <c r="L186" s="33" t="inlineStr">
        <is>
          <t>Copiado de curated/infraestructura/distritos_infraestructura.csv (unión por codigo). Origen: Conteo tras unión espacial de hospitales a distritos.</t>
        </is>
      </c>
      <c r="M186" s="33" t="inlineStr">
        <is>
          <t>¿Cuántas urgencias hay en cada distrito? (Wiki 1.8)</t>
        </is>
      </c>
    </row>
    <row r="187" ht="15.75" customHeight="1" s="24">
      <c r="A187" s="33" t="inlineStr">
        <is>
          <t>F23</t>
        </is>
      </c>
      <c r="B187" s="33" t="inlineStr">
        <is>
          <t>public/data/atlas_zonas.json</t>
        </is>
      </c>
      <c r="C187" s="33" t="inlineStr">
        <is>
          <t>geo_distritos.features[].properties.rutas_distintas</t>
        </is>
      </c>
      <c r="D187" s="33" t="inlineStr">
        <is>
          <t>(calculado)</t>
        </is>
      </c>
      <c r="E187" s="33" t="inlineStr">
        <is>
          <t>Número de rutas distintas que tocan al menos una parada del distrito.</t>
        </is>
      </c>
      <c r="F187" s="33" t="inlineStr">
        <is>
          <t>Entero</t>
        </is>
      </c>
      <c r="G187" s="33" t="inlineStr">
        <is>
          <t>rutas</t>
        </is>
      </c>
      <c r="H187" s="33" t="inlineStr">
        <is>
          <t>333</t>
        </is>
      </c>
      <c r="I187" s="33" t="inlineStr">
        <is>
          <t>No</t>
        </is>
      </c>
      <c r="J187" s="33" t="inlineStr">
        <is>
          <t>135 a 492</t>
        </is>
      </c>
      <c r="K187" s="33" t="inlineStr">
        <is>
          <t>Pública</t>
        </is>
      </c>
      <c r="L187" s="33" t="inlineStr">
        <is>
          <t>Copiado de curated/infraestructura/distritos_infraestructura.csv (unión por codigo). Origen: Conteo de pares operador:ruta únicos por distrito.</t>
        </is>
      </c>
      <c r="M187" s="33" t="inlineStr">
        <is>
          <t>¿Qué tan conectado está el distrito con el resto de la ciudad?</t>
        </is>
      </c>
    </row>
    <row r="188" ht="15.75" customHeight="1" s="24">
      <c r="A188" s="33" t="inlineStr">
        <is>
          <t>F23, F22</t>
        </is>
      </c>
      <c r="B188" s="33" t="inlineStr">
        <is>
          <t>public/data/atlas_zonas.json</t>
        </is>
      </c>
      <c r="C188" s="33" t="inlineStr">
        <is>
          <t>geo_distritos.features[].properties.paradas_por_km2</t>
        </is>
      </c>
      <c r="D188" s="33" t="inlineStr">
        <is>
          <t>(calculado)</t>
        </is>
      </c>
      <c r="E188" s="33" t="inlineStr">
        <is>
          <t>Paradas de transporte por km² de tierra.</t>
        </is>
      </c>
      <c r="F188" s="33" t="inlineStr">
        <is>
          <t>Decimal</t>
        </is>
      </c>
      <c r="G188" s="33" t="inlineStr">
        <is>
          <t>paradas/km²</t>
        </is>
      </c>
      <c r="H188" s="33" t="inlineStr">
        <is>
          <t>53.86</t>
        </is>
      </c>
      <c r="I188" s="33" t="inlineStr">
        <is>
          <t>No</t>
        </is>
      </c>
      <c r="J188" s="33" t="inlineStr">
        <is>
          <t>2,52 a 122,8</t>
        </is>
      </c>
      <c r="K188" s="33" t="inlineStr">
        <is>
          <t>Pública</t>
        </is>
      </c>
      <c r="L188" s="33" t="inlineStr">
        <is>
          <t>Copiado de curated/infraestructura/distritos_infraestructura.csv (unión por codigo). Origen: paradas_transporte / area_km2_oficial.</t>
        </is>
      </c>
      <c r="M188" s="33" t="inlineStr">
        <is>
          <t>¿Dónde es más densa la red de transporte?</t>
        </is>
      </c>
    </row>
    <row r="189" ht="15.75" customHeight="1" s="24">
      <c r="A189" s="33" t="inlineStr">
        <is>
          <t>F23, F20</t>
        </is>
      </c>
      <c r="B189" s="33" t="inlineStr">
        <is>
          <t>public/data/atlas_zonas.json</t>
        </is>
      </c>
      <c r="C189" s="33" t="inlineStr">
        <is>
          <t>geo_distritos.features[].properties.paradas_por_10k_hab</t>
        </is>
      </c>
      <c r="D189" s="33" t="inlineStr">
        <is>
          <t>(calculado)</t>
        </is>
      </c>
      <c r="E189" s="33" t="inlineStr">
        <is>
          <t>Paradas de transporte por cada 10.000 habitantes.</t>
        </is>
      </c>
      <c r="F189" s="33" t="inlineStr">
        <is>
          <t>Decimal</t>
        </is>
      </c>
      <c r="G189" s="33" t="inlineStr">
        <is>
          <t>paradas por 10.000 hab</t>
        </is>
      </c>
      <c r="H189" s="33" t="inlineStr">
        <is>
          <t>28.65</t>
        </is>
      </c>
      <c r="I189" s="33" t="inlineStr">
        <is>
          <t>No</t>
        </is>
      </c>
      <c r="J189" s="33" t="inlineStr">
        <is>
          <t>15,41 a 37,61</t>
        </is>
      </c>
      <c r="K189" s="33" t="inlineStr">
        <is>
          <t>Pública</t>
        </is>
      </c>
      <c r="L189" s="33" t="inlineStr">
        <is>
          <t>Copiado de curated/infraestructura/distritos_infraestructura.csv (unión por codigo). Origen: 10.000 × paradas_transporte / poblacion_2021.</t>
        </is>
      </c>
      <c r="M189" s="33" t="inlineStr">
        <is>
          <t>¿Qué distritos tienen menos transporte por habitante?</t>
        </is>
      </c>
    </row>
    <row r="190" ht="15.75" customHeight="1" s="24">
      <c r="A190" s="33" t="inlineStr">
        <is>
          <t>F24, F20</t>
        </is>
      </c>
      <c r="B190" s="33" t="inlineStr">
        <is>
          <t>public/data/atlas_zonas.json</t>
        </is>
      </c>
      <c r="C190" s="33" t="inlineStr">
        <is>
          <t>geo_distritos.features[].properties.hab_por_hospital_urgencias</t>
        </is>
      </c>
      <c r="D190" s="33" t="inlineStr">
        <is>
          <t>(calculado)</t>
        </is>
      </c>
      <c r="E190" s="33" t="inlineStr">
        <is>
          <t>Habitantes por cada hospital con urgencias dentro del distrito.</t>
        </is>
      </c>
      <c r="F190" s="33" t="inlineStr">
        <is>
          <t>Decimal</t>
        </is>
      </c>
      <c r="G190" s="33" t="inlineStr">
        <is>
          <t>hab/hospital</t>
        </is>
      </c>
      <c r="H190" s="33" t="inlineStr">
        <is>
          <t>166695.0</t>
        </is>
      </c>
      <c r="I190" s="33" t="inlineStr">
        <is>
          <t>Sí</t>
        </is>
      </c>
      <c r="J190" s="33" t="inlineStr">
        <is>
          <t>9,264e+04 a 6,928e+05</t>
        </is>
      </c>
      <c r="K190" s="33" t="inlineStr">
        <is>
          <t>Pública</t>
        </is>
      </c>
      <c r="L190" s="33" t="inlineStr">
        <is>
          <t>Copiado de curated/infraestructura/distritos_infraestructura.csv (unión por codigo). Origen: poblacion_2021 / hospitales_urgencias; vacío si el distrito no tiene ninguno.</t>
        </is>
      </c>
      <c r="M190" s="33" t="inlineStr">
        <is>
          <t>¿Qué distritos están más presionados en urgencias? (Wiki 1.8)</t>
        </is>
      </c>
    </row>
    <row r="191" ht="15.75" customHeight="1" s="24">
      <c r="A191" s="33" t="inlineStr">
        <is>
          <t>F24, F19</t>
        </is>
      </c>
      <c r="B191" s="33" t="inlineStr">
        <is>
          <t>public/data/atlas_zonas.json</t>
        </is>
      </c>
      <c r="C191" s="33" t="inlineStr">
        <is>
          <t>geo_distritos.features[].properties.dist_media_hospital_km</t>
        </is>
      </c>
      <c r="D191" s="33" t="inlineStr">
        <is>
          <t>(calculado)</t>
        </is>
      </c>
      <c r="E191" s="33" t="inlineStr">
        <is>
          <t>Distancia media de las circunscripciones del distrito a la urgencia más cercana.</t>
        </is>
      </c>
      <c r="F191" s="33" t="inlineStr">
        <is>
          <t>Decimal</t>
        </is>
      </c>
      <c r="G191" s="33" t="inlineStr">
        <is>
          <t>km</t>
        </is>
      </c>
      <c r="H191" s="33" t="inlineStr">
        <is>
          <t>2.23</t>
        </is>
      </c>
      <c r="I191" s="33" t="inlineStr">
        <is>
          <t>No</t>
        </is>
      </c>
      <c r="J191" s="33" t="inlineStr">
        <is>
          <t>0,89 a 3,74</t>
        </is>
      </c>
      <c r="K191" s="33" t="inlineStr">
        <is>
          <t>Pública</t>
        </is>
      </c>
      <c r="L191" s="33" t="inlineStr">
        <is>
          <t>Copiado de curated/infraestructura/distritos_infraestructura.csv (unión por codigo). Origen: Promedio por distrito de distancia_hospital_m / 1000.</t>
        </is>
      </c>
      <c r="M191" s="33" t="inlineStr">
        <is>
          <t>¿Qué distritos tienen peor acceso a urgencias? (Wiki 1.8)</t>
        </is>
      </c>
    </row>
    <row r="192" ht="15.75" customHeight="1" s="24">
      <c r="A192" s="33" t="inlineStr">
        <is>
          <t>F25, F27</t>
        </is>
      </c>
      <c r="B192" s="33" t="inlineStr">
        <is>
          <t>public/data/atlas_zonas.json</t>
        </is>
      </c>
      <c r="C192" s="33" t="inlineStr">
        <is>
          <t>geo_distritos.features[].properties.estaciones_meteorologicas</t>
        </is>
      </c>
      <c r="D192" s="33" t="inlineStr">
        <is>
          <t>(calculado)</t>
        </is>
      </c>
      <c r="E192" s="33" t="inlineStr">
        <is>
          <t>Estaciones del Observatorio ubicadas en el distrito.</t>
        </is>
      </c>
      <c r="F192" s="33" t="inlineStr">
        <is>
          <t>Entero</t>
        </is>
      </c>
      <c r="G192" s="33" t="inlineStr">
        <is>
          <t>estaciones</t>
        </is>
      </c>
      <c r="H192" s="33" t="inlineStr">
        <is>
          <t>4</t>
        </is>
      </c>
      <c r="I192" s="33" t="inlineStr">
        <is>
          <t>No</t>
        </is>
      </c>
      <c r="J192" s="33" t="inlineStr">
        <is>
          <t>1 a 17</t>
        </is>
      </c>
      <c r="K192" s="33" t="inlineStr">
        <is>
          <t>Pública</t>
        </is>
      </c>
      <c r="L192" s="33" t="inlineStr">
        <is>
          <t>Copiado de curated/sensores/distritos_sensores.csv (unión por codigo). Origen: Conteo tras unión espacial.</t>
        </is>
      </c>
      <c r="M192" s="33" t="inlineStr">
        <is>
          <t>¿Qué tan monitoreado está el clima en cada distrito?</t>
        </is>
      </c>
    </row>
    <row r="193" ht="15.75" customHeight="1" s="24">
      <c r="A193" s="33" t="inlineStr">
        <is>
          <t>F25, F27</t>
        </is>
      </c>
      <c r="B193" s="33" t="inlineStr">
        <is>
          <t>public/data/atlas_zonas.json</t>
        </is>
      </c>
      <c r="C193" s="33" t="inlineStr">
        <is>
          <t>geo_distritos.features[].properties.estaciones_calidad_aire</t>
        </is>
      </c>
      <c r="D193" s="33" t="inlineStr">
        <is>
          <t>(calculado)</t>
        </is>
      </c>
      <c r="E193" s="33" t="inlineStr">
        <is>
          <t>Estaciones de calidad del aire asignadas al distrito.</t>
        </is>
      </c>
      <c r="F193" s="33" t="inlineStr">
        <is>
          <t>Entero</t>
        </is>
      </c>
      <c r="G193" s="33" t="inlineStr">
        <is>
          <t>estaciones</t>
        </is>
      </c>
      <c r="H193" s="33" t="inlineStr">
        <is>
          <t>2</t>
        </is>
      </c>
      <c r="I193" s="33" t="inlineStr">
        <is>
          <t>No</t>
        </is>
      </c>
      <c r="J193" s="33" t="inlineStr">
        <is>
          <t>0 a 2</t>
        </is>
      </c>
      <c r="K193" s="33" t="inlineStr">
        <is>
          <t>Pública</t>
        </is>
      </c>
      <c r="L193" s="33" t="inlineStr">
        <is>
          <t>Copiado de curated/sensores/distritos_sensores.csv (unión por codigo). Origen: Conteo por distrito asignado.</t>
        </is>
      </c>
      <c r="M193" s="33" t="inlineStr">
        <is>
          <t>¿Qué distritos tienen medición de calidad del aire?</t>
        </is>
      </c>
    </row>
    <row r="194" ht="15.75" customHeight="1" s="24">
      <c r="A194" s="33" t="inlineStr">
        <is>
          <t>F25, F27</t>
        </is>
      </c>
      <c r="B194" s="33" t="inlineStr">
        <is>
          <t>public/data/atlas_zonas.json</t>
        </is>
      </c>
      <c r="C194" s="33" t="inlineStr">
        <is>
          <t>geo_distritos.features[].properties.aqhi_ultimo</t>
        </is>
      </c>
      <c r="D194" s="33" t="inlineStr">
        <is>
          <t>(calculado de AQHI)</t>
        </is>
      </c>
      <c r="E194" s="33" t="inlineStr">
        <is>
          <t>AQHI promedio de las estaciones generales del distrito en la última captura.</t>
        </is>
      </c>
      <c r="F194" s="33" t="inlineStr">
        <is>
          <t>Decimal</t>
        </is>
      </c>
      <c r="G194" s="33" t="inlineStr">
        <is>
          <t>índice 1–10+</t>
        </is>
      </c>
      <c r="H194" s="33" t="inlineStr">
        <is>
          <t>2.0</t>
        </is>
      </c>
      <c r="I194" s="33" t="inlineStr">
        <is>
          <t>Sí</t>
        </is>
      </c>
      <c r="J194" s="33" t="inlineStr">
        <is>
          <t>2 a 3</t>
        </is>
      </c>
      <c r="K194" s="33" t="inlineStr">
        <is>
          <t>Pública</t>
        </is>
      </c>
      <c r="L194" s="33" t="inlineStr">
        <is>
          <t>Copiado de curated/sensores/distritos_sensores.csv (unión por codigo). Origen: Promedio de estaciones tipo general; vacío si el distrito no tiene estación.</t>
        </is>
      </c>
      <c r="M194" s="33" t="inlineStr">
        <is>
          <t>¿Qué distritos tienen peor aire ahora?</t>
        </is>
      </c>
    </row>
    <row r="195" ht="15.75" customHeight="1" s="24">
      <c r="A195" s="33" t="inlineStr">
        <is>
          <t>F32, F33</t>
        </is>
      </c>
      <c r="B195" s="33" t="inlineStr">
        <is>
          <t>public/data/atlas_zonas.json</t>
        </is>
      </c>
      <c r="C195" s="33" t="inlineStr">
        <is>
          <t>geo_distritos.features[].properties.menciones_noticias</t>
        </is>
      </c>
      <c r="D195" s="33" t="inlineStr">
        <is>
          <t>(calculado)</t>
        </is>
      </c>
      <c r="E195" s="33" t="inlineStr">
        <is>
          <t>Número de titulares que mencionan el distrito.</t>
        </is>
      </c>
      <c r="F195" s="33" t="inlineStr">
        <is>
          <t>Entero</t>
        </is>
      </c>
      <c r="G195" s="33" t="inlineStr">
        <is>
          <t>titulares</t>
        </is>
      </c>
      <c r="H195" s="33" t="inlineStr">
        <is>
          <t>1</t>
        </is>
      </c>
      <c r="I195" s="33" t="inlineStr">
        <is>
          <t>No</t>
        </is>
      </c>
      <c r="J195" s="33" t="inlineStr">
        <is>
          <t>0 a 5</t>
        </is>
      </c>
      <c r="K195" s="33" t="inlineStr">
        <is>
          <t>Pública</t>
        </is>
      </c>
      <c r="L195" s="33" t="inlineStr">
        <is>
          <t>Copiado de curated/escucha/menciones_por_distrito.csv (unión por codigo). Origen: Conteo de códigos en distritos_mencionados.</t>
        </is>
      </c>
      <c r="M195" s="33" t="inlineStr">
        <is>
          <t>¿Qué distritos concentran la atención mediática?</t>
        </is>
      </c>
    </row>
    <row r="196" ht="15.75" customHeight="1" s="24">
      <c r="A196" s="33" t="inlineStr">
        <is>
          <t>F22</t>
        </is>
      </c>
      <c r="B196" s="33" t="inlineStr">
        <is>
          <t>public/data/atlas_zonas.json</t>
        </is>
      </c>
      <c r="C196" s="33" t="inlineStr">
        <is>
          <t>geo_distritos.features[].properties.area_km2_oficial</t>
        </is>
      </c>
      <c r="D196" s="33" t="inlineStr">
        <is>
          <t>Area (km²)</t>
        </is>
      </c>
      <c r="E196" s="33" t="inlineStr">
        <is>
          <t>Superficie terrestre oficial del distrito.</t>
        </is>
      </c>
      <c r="F196" s="33" t="inlineStr">
        <is>
          <t>Decimal</t>
        </is>
      </c>
      <c r="G196" s="33" t="inlineStr">
        <is>
          <t>km²</t>
        </is>
      </c>
      <c r="H196" s="33" t="inlineStr">
        <is>
          <t>12.55</t>
        </is>
      </c>
      <c r="I196" s="33" t="inlineStr">
        <is>
          <t>No</t>
        </is>
      </c>
      <c r="J196" s="33" t="inlineStr">
        <is>
          <t>6,99 a 182,7</t>
        </is>
      </c>
      <c r="K196" s="33" t="inlineStr">
        <is>
          <t>Pública</t>
        </is>
      </c>
      <c r="L196" s="33" t="inlineStr">
        <is>
          <t>Copiado de curated/geo/distritos.csv (unión por codigo). Origen: Copiado; unido por nombre inglés del distrito.</t>
        </is>
      </c>
      <c r="M196" s="33" t="inlineStr">
        <is>
          <t>¿Cuál es la densidad real de cada distrito? (Wiki 1.2, 6.5)</t>
        </is>
      </c>
    </row>
    <row r="197" ht="15.75" customHeight="1" s="24">
      <c r="A197" s="33" t="inlineStr">
        <is>
          <t>F19</t>
        </is>
      </c>
      <c r="B197" s="33" t="inlineStr">
        <is>
          <t>public/data/atlas_zonas.json</t>
        </is>
      </c>
      <c r="C197" s="33" t="inlineStr">
        <is>
          <t>geo_distritos.features[].properties.centro_lat</t>
        </is>
      </c>
      <c r="D197" s="33" t="inlineStr">
        <is>
          <t>(calculado)</t>
        </is>
      </c>
      <c r="E197" s="33" t="inlineStr">
        <is>
          <t>Latitud de un punto representativo interior del distrito (para etiquetas en el mapa).</t>
        </is>
      </c>
      <c r="F197" s="33" t="inlineStr">
        <is>
          <t>Decimal</t>
        </is>
      </c>
      <c r="G197" s="33" t="inlineStr">
        <is>
          <t>grados decimales (WGS84)</t>
        </is>
      </c>
      <c r="H197" s="33" t="inlineStr">
        <is>
          <t>22.274851</t>
        </is>
      </c>
      <c r="I197" s="33" t="inlineStr">
        <is>
          <t>No</t>
        </is>
      </c>
      <c r="J197" s="33" t="inlineStr">
        <is>
          <t>22,23 a 22,52</t>
        </is>
      </c>
      <c r="K197" s="33" t="inlineStr">
        <is>
          <t>Pública</t>
        </is>
      </c>
      <c r="L197" s="33" t="inlineStr">
        <is>
          <t>Copiado de curated/geo/distritos.csv (unión por codigo). Origen: representative_point() del polígono disuelto, reproyectado a WGS84.</t>
        </is>
      </c>
      <c r="M197" s="33" t="inlineStr">
        <is>
          <t>¿Dónde ubicar la etiqueta del distrito en el mapa?</t>
        </is>
      </c>
    </row>
    <row r="198" ht="15.75" customHeight="1" s="24">
      <c r="A198" s="33" t="inlineStr">
        <is>
          <t>F19</t>
        </is>
      </c>
      <c r="B198" s="33" t="inlineStr">
        <is>
          <t>public/data/atlas_zonas.json</t>
        </is>
      </c>
      <c r="C198" s="33" t="inlineStr">
        <is>
          <t>geo_distritos.features[].properties.centro_lon</t>
        </is>
      </c>
      <c r="D198" s="33" t="inlineStr">
        <is>
          <t>(calculado)</t>
        </is>
      </c>
      <c r="E198" s="33" t="inlineStr">
        <is>
          <t>Longitud de un punto representativo interior del distrito.</t>
        </is>
      </c>
      <c r="F198" s="33" t="inlineStr">
        <is>
          <t>Decimal</t>
        </is>
      </c>
      <c r="G198" s="33" t="inlineStr">
        <is>
          <t>grados decimales (WGS84)</t>
        </is>
      </c>
      <c r="H198" s="33" t="inlineStr">
        <is>
          <t>114.148691</t>
        </is>
      </c>
      <c r="I198" s="33" t="inlineStr">
        <is>
          <t>No</t>
        </is>
      </c>
      <c r="J198" s="33" t="inlineStr">
        <is>
          <t>113,9 a 114,4</t>
        </is>
      </c>
      <c r="K198" s="33" t="inlineStr">
        <is>
          <t>Pública</t>
        </is>
      </c>
      <c r="L198" s="33" t="inlineStr">
        <is>
          <t>Copiado de curated/geo/distritos.csv (unión por codigo). Origen: representative_point() del polígono disuelto, reproyectado a WGS84.</t>
        </is>
      </c>
      <c r="M198" s="33" t="inlineStr">
        <is>
          <t>¿Dónde ubicar la etiqueta del distrito en el mapa?</t>
        </is>
      </c>
    </row>
    <row r="199" ht="15.75" customHeight="1" s="24">
      <c r="A199" s="33" t="inlineStr">
        <is>
          <t>F19</t>
        </is>
      </c>
      <c r="B199" s="33" t="inlineStr">
        <is>
          <t>public/data/atlas_zonas.json</t>
        </is>
      </c>
      <c r="C199" s="33" t="inlineStr">
        <is>
          <t>geo_distritos.features[].properties.n_circunscripciones</t>
        </is>
      </c>
      <c r="D199" s="33" t="inlineStr">
        <is>
          <t>(calculado)</t>
        </is>
      </c>
      <c r="E199" s="33" t="inlineStr">
        <is>
          <t>Número de circunscripciones DCCA 2019 dentro del distrito.</t>
        </is>
      </c>
      <c r="F199" s="33" t="inlineStr">
        <is>
          <t>Entero</t>
        </is>
      </c>
      <c r="G199" s="33" t="inlineStr">
        <is>
          <t>conteo</t>
        </is>
      </c>
      <c r="H199" s="33" t="inlineStr">
        <is>
          <t>15</t>
        </is>
      </c>
      <c r="I199" s="33" t="inlineStr">
        <is>
          <t>No</t>
        </is>
      </c>
      <c r="J199" s="33" t="inlineStr">
        <is>
          <t>10 a 41</t>
        </is>
      </c>
      <c r="K199" s="33" t="inlineStr">
        <is>
          <t>Pública</t>
        </is>
      </c>
      <c r="L199" s="33" t="inlineStr">
        <is>
          <t>Copiado de curated/geo/distritos.csv (unión por codigo). Origen: Conteo de DCCA por código de distrito.</t>
        </is>
      </c>
      <c r="M199" s="33" t="inlineStr">
        <is>
          <t>¿Con cuánto detalle territorial se puede analizar cada distrito?</t>
        </is>
      </c>
    </row>
    <row r="200" ht="15.75" customHeight="1" s="24">
      <c r="A200" s="33" t="inlineStr">
        <is>
          <t>F19, F20, F21, F22, F23, F24, F25, F27, F32</t>
        </is>
      </c>
      <c r="B200" s="33" t="inlineStr">
        <is>
          <t>public/data/atlas_zonas.json</t>
        </is>
      </c>
      <c r="C200" s="33" t="inlineStr">
        <is>
          <t>geo_distritos.features[].properties.cluster</t>
        </is>
      </c>
      <c r="D200" s="33" t="inlineStr">
        <is>
          <t>(calculado)</t>
        </is>
      </c>
      <c r="E200" s="33" t="inlineStr">
        <is>
          <t>Número de grupo asignado por k-means.</t>
        </is>
      </c>
      <c r="F200" s="33" t="inlineStr">
        <is>
          <t>Entero</t>
        </is>
      </c>
      <c r="G200" s="33" t="inlineStr">
        <is>
          <t>—</t>
        </is>
      </c>
      <c r="H200" s="33" t="inlineStr">
        <is>
          <t>2</t>
        </is>
      </c>
      <c r="I200" s="33" t="inlineStr">
        <is>
          <t>No</t>
        </is>
      </c>
      <c r="J200" s="33" t="inlineStr">
        <is>
          <t>0 a 3</t>
        </is>
      </c>
      <c r="K200" s="33" t="inlineStr">
        <is>
          <t>Pública</t>
        </is>
      </c>
      <c r="L200" s="33" t="inlineStr">
        <is>
          <t>K-means (k=4, semilla 42) sobre 6 variables estandarizadas.</t>
        </is>
      </c>
      <c r="M200" s="33" t="inlineStr">
        <is>
          <t>¿Qué distritos se parecen entre sí?</t>
        </is>
      </c>
    </row>
    <row r="201" ht="15.75" customHeight="1" s="24">
      <c r="A201" s="33" t="inlineStr">
        <is>
          <t>F19, F20, F21, F22, F23, F24, F25, F27, F32</t>
        </is>
      </c>
      <c r="B201" s="33" t="inlineStr">
        <is>
          <t>public/data/atlas_zonas.json</t>
        </is>
      </c>
      <c r="C201" s="33" t="inlineStr">
        <is>
          <t>geo_distritos.features[].properties.tipologia</t>
        </is>
      </c>
      <c r="D201" s="33" t="inlineStr">
        <is>
          <t>(calculado)</t>
        </is>
      </c>
      <c r="E201" s="33" t="inlineStr">
        <is>
          <t>Nombre descriptivo del tipo de zona.</t>
        </is>
      </c>
      <c r="F201" s="33" t="inlineStr">
        <is>
          <t>Texto</t>
        </is>
      </c>
      <c r="G201" s="33" t="inlineStr">
        <is>
          <t>—</t>
        </is>
      </c>
      <c r="H201" s="33" t="inlineStr">
        <is>
          <t>Centro financiero de ingreso alto</t>
        </is>
      </c>
      <c r="I201" s="33" t="inlineStr">
        <is>
          <t>No</t>
        </is>
      </c>
      <c r="J201" s="33" t="inlineStr">
        <is>
          <t>Centro financiero de ingreso alto; Núcleo denso de vivienda pública e ingreso bajo; Núcleo urbano denso de clase media; Suburbano de baja densidad</t>
        </is>
      </c>
      <c r="K201" s="33" t="inlineStr">
        <is>
          <t>Pública</t>
        </is>
      </c>
      <c r="L201" s="33" t="inlineStr">
        <is>
          <t>Nombre asignado según el perfil del centro del grupo (ingreso, vivienda pública, densidad).</t>
        </is>
      </c>
      <c r="M201" s="33" t="inlineStr">
        <is>
          <t>¿Qué tipo de zona es cada distrito?</t>
        </is>
      </c>
    </row>
    <row r="202" ht="15.75" customHeight="1" s="24">
      <c r="A202" s="33" t="inlineStr">
        <is>
          <t>F19, F20, F21, F22, F23, F24, F25, F27, F32</t>
        </is>
      </c>
      <c r="B202" s="33" t="inlineStr">
        <is>
          <t>public/data/atlas_zonas.json</t>
        </is>
      </c>
      <c r="C202" s="33" t="inlineStr">
        <is>
          <t>geo_distritos.features[].properties.indice_prosperidad</t>
        </is>
      </c>
      <c r="D202" s="33" t="inlineStr">
        <is>
          <t>(calculado)</t>
        </is>
      </c>
      <c r="E202" s="33" t="inlineStr">
        <is>
          <t>Índice 0–100 que combina ingreso 2025 (60 %) y % universitario (40 %).</t>
        </is>
      </c>
      <c r="F202" s="33" t="inlineStr">
        <is>
          <t>Decimal</t>
        </is>
      </c>
      <c r="G202" s="33" t="inlineStr">
        <is>
          <t>índice 0–100</t>
        </is>
      </c>
      <c r="H202" s="33" t="inlineStr">
        <is>
          <t>100.0</t>
        </is>
      </c>
      <c r="I202" s="33" t="inlineStr">
        <is>
          <t>No</t>
        </is>
      </c>
      <c r="J202" s="33" t="inlineStr">
        <is>
          <t>0 a 100</t>
        </is>
      </c>
      <c r="K202" s="33" t="inlineStr">
        <is>
          <t>Pública</t>
        </is>
      </c>
      <c r="L202" s="33" t="inlineStr">
        <is>
          <t>Combinación ponderada normalizada y reescalada min-max entre los 18 distritos.</t>
        </is>
      </c>
      <c r="M202" s="33" t="inlineStr">
        <is>
          <t>¿Qué distritos son más prósperos? (Wiki 1.6, 1.7)</t>
        </is>
      </c>
    </row>
    <row r="203" ht="15.75" customHeight="1" s="24">
      <c r="A203" s="33" t="inlineStr">
        <is>
          <t>F19, F20, F21, F22, F23, F24, F25, F27, F32</t>
        </is>
      </c>
      <c r="B203" s="33" t="inlineStr">
        <is>
          <t>public/data/atlas_zonas.json</t>
        </is>
      </c>
      <c r="C203" s="33" t="inlineStr">
        <is>
          <t>geo_distritos.features[].properties.indice_conectividad</t>
        </is>
      </c>
      <c r="D203" s="33" t="inlineStr">
        <is>
          <t>(calculado)</t>
        </is>
      </c>
      <c r="E203" s="33" t="inlineStr">
        <is>
          <t>Índice 0–100 que combina paradas por habitante y cercanía a urgencias.</t>
        </is>
      </c>
      <c r="F203" s="33" t="inlineStr">
        <is>
          <t>Decimal</t>
        </is>
      </c>
      <c r="G203" s="33" t="inlineStr">
        <is>
          <t>índice 0–100</t>
        </is>
      </c>
      <c r="H203" s="33" t="inlineStr">
        <is>
          <t>54.9</t>
        </is>
      </c>
      <c r="I203" s="33" t="inlineStr">
        <is>
          <t>No</t>
        </is>
      </c>
      <c r="J203" s="33" t="inlineStr">
        <is>
          <t>0 a 100</t>
        </is>
      </c>
      <c r="K203" s="33" t="inlineStr">
        <is>
          <t>Pública</t>
        </is>
      </c>
      <c r="L203" s="33" t="inlineStr">
        <is>
          <t>Suma normalizada de paradas_por_10k_hab y (1 − distancia a urgencias relativa), reescalada min-max.</t>
        </is>
      </c>
      <c r="M203" s="33" t="inlineStr">
        <is>
          <t>¿Qué distritos están mejor conectados y servidos?</t>
        </is>
      </c>
    </row>
    <row r="204" ht="15.75" customHeight="1" s="24">
      <c r="A204" s="33" t="inlineStr">
        <is>
          <t>F19, F20, F21, F22, F23, F24, F25, F27, F32</t>
        </is>
      </c>
      <c r="B204" s="33" t="inlineStr">
        <is>
          <t>public/data/atlas_zonas.json</t>
        </is>
      </c>
      <c r="C204" s="33" t="inlineStr">
        <is>
          <t>geo_distritos.features[].properties.indice_presion_demografica</t>
        </is>
      </c>
      <c r="D204" s="33" t="inlineStr">
        <is>
          <t>(calculado)</t>
        </is>
      </c>
      <c r="E204" s="33" t="inlineStr">
        <is>
          <t>Índice 0–100 que combina densidad y % de 65+.</t>
        </is>
      </c>
      <c r="F204" s="33" t="inlineStr">
        <is>
          <t>Decimal</t>
        </is>
      </c>
      <c r="G204" s="33" t="inlineStr">
        <is>
          <t>índice 0–100</t>
        </is>
      </c>
      <c r="H204" s="33" t="inlineStr">
        <is>
          <t>38.1</t>
        </is>
      </c>
      <c r="I204" s="33" t="inlineStr">
        <is>
          <t>No</t>
        </is>
      </c>
      <c r="J204" s="33" t="inlineStr">
        <is>
          <t>0 a 100</t>
        </is>
      </c>
      <c r="K204" s="33" t="inlineStr">
        <is>
          <t>Pública</t>
        </is>
      </c>
      <c r="L204" s="33" t="inlineStr">
        <is>
          <t>Suma normalizada de densidad y pct_65_mas, reescalada min-max.</t>
        </is>
      </c>
      <c r="M204" s="33" t="inlineStr">
        <is>
          <t>¿Dónde hay más presión sobre servicios por densidad y envejecimiento? (Wiki 1.2, 1.3)</t>
        </is>
      </c>
    </row>
    <row r="205" ht="15.75" customHeight="1" s="24">
      <c r="A205" s="33" t="inlineStr">
        <is>
          <t>F19, F20, F21, F22, F23, F24, F25, F27, F32</t>
        </is>
      </c>
      <c r="B205" s="33" t="inlineStr">
        <is>
          <t>public/data/atlas_zonas.json</t>
        </is>
      </c>
      <c r="C205" s="33" t="inlineStr">
        <is>
          <t>geo_distritos.features[].properties.rank_poblacion_2021</t>
        </is>
      </c>
      <c r="D205" s="33" t="inlineStr">
        <is>
          <t>(calculado)</t>
        </is>
      </c>
      <c r="E205" s="33" t="inlineStr">
        <is>
          <t>Posición del distrito por población (1 = mayor).</t>
        </is>
      </c>
      <c r="F205" s="33" t="inlineStr">
        <is>
          <t>Entero</t>
        </is>
      </c>
      <c r="G205" s="33" t="inlineStr">
        <is>
          <t>posición 1–18</t>
        </is>
      </c>
      <c r="H205" s="33" t="inlineStr">
        <is>
          <t>16</t>
        </is>
      </c>
      <c r="I205" s="33" t="inlineStr">
        <is>
          <t>No</t>
        </is>
      </c>
      <c r="J205" s="33" t="inlineStr">
        <is>
          <t>1 a 18</t>
        </is>
      </c>
      <c r="K205" s="33" t="inlineStr">
        <is>
          <t>Pública</t>
        </is>
      </c>
      <c r="L205" s="33" t="inlineStr">
        <is>
          <t>Ranking descendente, empates con el menor puesto.</t>
        </is>
      </c>
      <c r="M205" s="33" t="inlineStr">
        <is>
          <t>¿Cuál es el distrito más poblado?</t>
        </is>
      </c>
    </row>
    <row r="206" ht="15.75" customHeight="1" s="24">
      <c r="A206" s="33" t="inlineStr">
        <is>
          <t>F19, F20, F21, F22, F23, F24, F25, F27, F32</t>
        </is>
      </c>
      <c r="B206" s="33" t="inlineStr">
        <is>
          <t>public/data/atlas_zonas.json</t>
        </is>
      </c>
      <c r="C206" s="33" t="inlineStr">
        <is>
          <t>geo_distritos.features[].properties.rank_ingreso_mediano_hogar_hkd_2025</t>
        </is>
      </c>
      <c r="D206" s="33" t="inlineStr">
        <is>
          <t>(calculado)</t>
        </is>
      </c>
      <c r="E206" s="33" t="inlineStr">
        <is>
          <t>Posición del distrito por ingreso 2025 (1 = mayor).</t>
        </is>
      </c>
      <c r="F206" s="33" t="inlineStr">
        <is>
          <t>Entero</t>
        </is>
      </c>
      <c r="G206" s="33" t="inlineStr">
        <is>
          <t>posición 1–18</t>
        </is>
      </c>
      <c r="H206" s="33" t="inlineStr">
        <is>
          <t>1</t>
        </is>
      </c>
      <c r="I206" s="33" t="inlineStr">
        <is>
          <t>No</t>
        </is>
      </c>
      <c r="J206" s="33" t="inlineStr">
        <is>
          <t>1 a 18</t>
        </is>
      </c>
      <c r="K206" s="33" t="inlineStr">
        <is>
          <t>Pública</t>
        </is>
      </c>
      <c r="L206" s="33" t="inlineStr">
        <is>
          <t>Ranking descendente.</t>
        </is>
      </c>
      <c r="M206" s="33" t="inlineStr">
        <is>
          <t>¿Cuál es el distrito más rico?</t>
        </is>
      </c>
    </row>
    <row r="207" ht="15.75" customHeight="1" s="24">
      <c r="A207" s="33" t="inlineStr">
        <is>
          <t>F19, F20, F21, F22, F23, F24, F25, F27, F32</t>
        </is>
      </c>
      <c r="B207" s="33" t="inlineStr">
        <is>
          <t>public/data/atlas_zonas.json</t>
        </is>
      </c>
      <c r="C207" s="33" t="inlineStr">
        <is>
          <t>geo_distritos.features[].properties.rank_densidad_hab_km2</t>
        </is>
      </c>
      <c r="D207" s="33" t="inlineStr">
        <is>
          <t>(calculado)</t>
        </is>
      </c>
      <c r="E207" s="33" t="inlineStr">
        <is>
          <t>Posición del distrito por densidad (1 = mayor).</t>
        </is>
      </c>
      <c r="F207" s="33" t="inlineStr">
        <is>
          <t>Entero</t>
        </is>
      </c>
      <c r="G207" s="33" t="inlineStr">
        <is>
          <t>posición 1–18</t>
        </is>
      </c>
      <c r="H207" s="33" t="inlineStr">
        <is>
          <t>8</t>
        </is>
      </c>
      <c r="I207" s="33" t="inlineStr">
        <is>
          <t>No</t>
        </is>
      </c>
      <c r="J207" s="33" t="inlineStr">
        <is>
          <t>1 a 18</t>
        </is>
      </c>
      <c r="K207" s="33" t="inlineStr">
        <is>
          <t>Pública</t>
        </is>
      </c>
      <c r="L207" s="33" t="inlineStr">
        <is>
          <t>Ranking descendente.</t>
        </is>
      </c>
      <c r="M207" s="33" t="inlineStr">
        <is>
          <t>¿Cuál es el distrito más denso?</t>
        </is>
      </c>
    </row>
    <row r="208" ht="15.75" customHeight="1" s="24">
      <c r="A208" s="33" t="inlineStr">
        <is>
          <t>F19, F20, F21, F22, F23, F24, F25, F27, F32</t>
        </is>
      </c>
      <c r="B208" s="33" t="inlineStr">
        <is>
          <t>public/data/atlas_zonas.json</t>
        </is>
      </c>
      <c r="C208" s="33" t="inlineStr">
        <is>
          <t>geo_distritos.features[].properties.rank_pct_65_mas</t>
        </is>
      </c>
      <c r="D208" s="33" t="inlineStr">
        <is>
          <t>(calculado)</t>
        </is>
      </c>
      <c r="E208" s="33" t="inlineStr">
        <is>
          <t>Posición del distrito por % de 65+ (1 = mayor).</t>
        </is>
      </c>
      <c r="F208" s="33" t="inlineStr">
        <is>
          <t>Entero</t>
        </is>
      </c>
      <c r="G208" s="33" t="inlineStr">
        <is>
          <t>posición 1–18</t>
        </is>
      </c>
      <c r="H208" s="33" t="inlineStr">
        <is>
          <t>11</t>
        </is>
      </c>
      <c r="I208" s="33" t="inlineStr">
        <is>
          <t>No</t>
        </is>
      </c>
      <c r="J208" s="33" t="inlineStr">
        <is>
          <t>1 a 18</t>
        </is>
      </c>
      <c r="K208" s="33" t="inlineStr">
        <is>
          <t>Pública</t>
        </is>
      </c>
      <c r="L208" s="33" t="inlineStr">
        <is>
          <t>Ranking descendente.</t>
        </is>
      </c>
      <c r="M208" s="33" t="inlineStr">
        <is>
          <t>¿Cuál es el distrito más envejecido?</t>
        </is>
      </c>
    </row>
    <row r="209" ht="15.75" customHeight="1" s="24">
      <c r="A209" s="33" t="inlineStr">
        <is>
          <t>F19, F20, F21, F22, F23, F24, F25, F27, F32</t>
        </is>
      </c>
      <c r="B209" s="33" t="inlineStr">
        <is>
          <t>public/data/atlas_zonas.json</t>
        </is>
      </c>
      <c r="C209" s="33" t="inlineStr">
        <is>
          <t>geo_distritos.features[].properties.rank_paradas_por_10k_hab</t>
        </is>
      </c>
      <c r="D209" s="33" t="inlineStr">
        <is>
          <t>(calculado)</t>
        </is>
      </c>
      <c r="E209" s="33" t="inlineStr">
        <is>
          <t>Posición del distrito por paradas por habitante (1 = mayor).</t>
        </is>
      </c>
      <c r="F209" s="33" t="inlineStr">
        <is>
          <t>Entero</t>
        </is>
      </c>
      <c r="G209" s="33" t="inlineStr">
        <is>
          <t>posición 1–18</t>
        </is>
      </c>
      <c r="H209" s="33" t="inlineStr">
        <is>
          <t>2</t>
        </is>
      </c>
      <c r="I209" s="33" t="inlineStr">
        <is>
          <t>No</t>
        </is>
      </c>
      <c r="J209" s="33" t="inlineStr">
        <is>
          <t>1 a 18</t>
        </is>
      </c>
      <c r="K209" s="33" t="inlineStr">
        <is>
          <t>Pública</t>
        </is>
      </c>
      <c r="L209" s="33" t="inlineStr">
        <is>
          <t>Ranking descendente.</t>
        </is>
      </c>
      <c r="M209" s="33" t="inlineStr">
        <is>
          <t>¿Qué distrito tiene más transporte por habitante?</t>
        </is>
      </c>
    </row>
    <row r="210" ht="15.75" customHeight="1" s="24">
      <c r="A210" s="33" t="inlineStr">
        <is>
          <t>F19, F20</t>
        </is>
      </c>
      <c r="B210" s="33" t="inlineStr">
        <is>
          <t>public/data/atlas_zonas.json</t>
        </is>
      </c>
      <c r="C210" s="33" t="inlineStr">
        <is>
          <t>geo_distritos.features[].geometry</t>
        </is>
      </c>
      <c r="D210" s="33" t="inlineStr">
        <is>
          <t>geometry</t>
        </is>
      </c>
      <c r="E210" s="33" t="inlineStr">
        <is>
          <t>Polígono del área (distrito, región o circunscripción) en coordenadas lon/lat.</t>
        </is>
      </c>
      <c r="F210" s="33" t="inlineStr">
        <is>
          <t>Coordenada / geometría</t>
        </is>
      </c>
      <c r="G210" s="33" t="inlineStr">
        <is>
          <t>grados WGS84</t>
        </is>
      </c>
      <c r="H210" s="33" t="inlineStr">
        <is>
          <t>[[[114.12968, 22.275552], [114.123759, 2…</t>
        </is>
      </c>
      <c r="I210" s="33" t="inlineStr">
        <is>
          <t>No</t>
        </is>
      </c>
      <c r="J210" s="33" t="inlineStr">
        <is>
          <t>Polygon / MultiPolygon, EPSG:4326</t>
        </is>
      </c>
      <c r="K210" s="33" t="inlineStr">
        <is>
          <t>Pública</t>
        </is>
      </c>
      <c r="L210" s="33" t="inlineStr">
        <is>
          <t>Reproyectado de EPSG:2326 a 4326 y simplificado con geopandas.</t>
        </is>
      </c>
      <c r="M210" s="33" t="inlineStr">
        <is>
          <t>¿Dónde queda cada zona en el mapa?</t>
        </is>
      </c>
    </row>
    <row r="211" ht="15.75" customHeight="1" s="24">
      <c r="A211" s="33" t="inlineStr">
        <is>
          <t>F20, F21, F22, F23, F24</t>
        </is>
      </c>
      <c r="B211" s="33" t="inlineStr">
        <is>
          <t>public/data/atlas_zonas.json</t>
        </is>
      </c>
      <c r="C211" s="33" t="inlineStr">
        <is>
          <t>tipologias.{clave}</t>
        </is>
      </c>
      <c r="D211" s="33" t="inlineStr">
        <is>
          <t>(calculado)</t>
        </is>
      </c>
      <c r="E211" s="33" t="inlineStr">
        <is>
          <t>Nombre interpretativo de cada grupo de k-means (clave = número de grupo).</t>
        </is>
      </c>
      <c r="F211" s="33" t="inlineStr">
        <is>
          <t>Texto</t>
        </is>
      </c>
      <c r="G211" s="33" t="inlineStr">
        <is>
          <t>—</t>
        </is>
      </c>
      <c r="H211" s="33" t="inlineStr">
        <is>
          <t>Centro financiero de ingreso alto</t>
        </is>
      </c>
      <c r="I211" s="33" t="inlineStr">
        <is>
          <t>No</t>
        </is>
      </c>
      <c r="J211" s="33" t="inlineStr">
        <is>
          <t>Centro financiero de ingreso alto; Núcleo denso de vivienda pública e ingreso bajo; Núcleo urbano denso de clase media; Suburbano de baja densidad</t>
        </is>
      </c>
      <c r="K211" s="33" t="inlineStr">
        <is>
          <t>Pública</t>
        </is>
      </c>
      <c r="L211" s="33" t="inlineStr">
        <is>
          <t>KMeans(k=4, semilla 42) sobre variables estandarizadas; nombre puesto a mano.</t>
        </is>
      </c>
      <c r="M211" s="33" t="inlineStr">
        <is>
          <t>¿Qué distritos se parecen entre sí?</t>
        </is>
      </c>
    </row>
    <row r="212" ht="15.75" customHeight="1" s="24">
      <c r="A212" s="33" t="inlineStr">
        <is>
          <t>F20, F21, F22, F23</t>
        </is>
      </c>
      <c r="B212" s="33" t="inlineStr">
        <is>
          <t>public/data/atlas_zonas.json</t>
        </is>
      </c>
      <c r="C212" s="33" t="inlineStr">
        <is>
          <t>variables_tipologia[]</t>
        </is>
      </c>
      <c r="D212" s="33" t="inlineStr">
        <is>
          <t>(calculado)</t>
        </is>
      </c>
      <c r="E212" s="33" t="inlineStr">
        <is>
          <t>Variables usadas para agrupar los distritos.</t>
        </is>
      </c>
      <c r="F212" s="33" t="inlineStr">
        <is>
          <t>Texto</t>
        </is>
      </c>
      <c r="G212" s="33" t="inlineStr">
        <is>
          <t>—</t>
        </is>
      </c>
      <c r="H212" s="33" t="inlineStr">
        <is>
          <t>densidad_hab_km2</t>
        </is>
      </c>
      <c r="I212" s="33" t="inlineStr">
        <is>
          <t>No</t>
        </is>
      </c>
      <c r="J212" s="33" t="inlineStr">
        <is>
          <t>densidad_hab_km2; ingreso_mediano_hogar_hkd_2025; paradas_por_10k_hab; pct_65_mas; pct_titulo_universitario_15_mas; pct_vivienda_publica_alquiler</t>
        </is>
      </c>
      <c r="K212" s="33" t="inlineStr">
        <is>
          <t>Pública</t>
        </is>
      </c>
      <c r="L212" s="33" t="inlineStr">
        <is>
          <t>Lista fija en build.py.</t>
        </is>
      </c>
      <c r="M212" s="33" t="inlineStr">
        <is>
          <t>¿Con qué criterio se agruparon?</t>
        </is>
      </c>
    </row>
    <row r="213" ht="15.75" customHeight="1" s="24">
      <c r="A213" s="33" t="inlineStr">
        <is>
          <t>F19</t>
        </is>
      </c>
      <c r="B213" s="33" t="inlineStr">
        <is>
          <t>public/data/atlas_zonas.json</t>
        </is>
      </c>
      <c r="C213" s="33" t="inlineStr">
        <is>
          <t>circunscripciones[].codigo_dcca</t>
        </is>
      </c>
      <c r="D213" s="33" t="inlineStr">
        <is>
          <t>CACODE</t>
        </is>
      </c>
      <c r="E213" s="33" t="inlineStr">
        <is>
          <t>Código de la circunscripción del Consejo de Distrito (DCCA 2019).</t>
        </is>
      </c>
      <c r="F213" s="33" t="inlineStr">
        <is>
          <t>Texto</t>
        </is>
      </c>
      <c r="G213" s="33" t="inlineStr">
        <is>
          <t>—</t>
        </is>
      </c>
      <c r="H213" s="33" t="inlineStr">
        <is>
          <t>B11</t>
        </is>
      </c>
      <c r="I213" s="33" t="inlineStr">
        <is>
          <t>No</t>
        </is>
      </c>
      <c r="J213" s="33" t="inlineStr">
        <is>
          <t>452 valores distintos</t>
        </is>
      </c>
      <c r="K213" s="33" t="inlineStr">
        <is>
          <t>Pública</t>
        </is>
      </c>
      <c r="L213" s="33" t="inlineStr">
        <is>
          <t>Renombrado; para puntos se asigna por unión espacial punto-en-polígono (o polígono más cercano ≤1 km).</t>
        </is>
      </c>
      <c r="M213" s="33" t="inlineStr">
        <is>
          <t>¿En qué circunscripción cae este punto o zona?</t>
        </is>
      </c>
    </row>
    <row r="214" ht="15.75" customHeight="1" s="24">
      <c r="A214" s="33" t="inlineStr">
        <is>
          <t>F19, F20, F21, F22, F23, F24, F25, F27, F32</t>
        </is>
      </c>
      <c r="B214" s="33" t="inlineStr">
        <is>
          <t>public/data/atlas_zonas.json</t>
        </is>
      </c>
      <c r="C214" s="33" t="inlineStr">
        <is>
          <t>circunscripciones[].nombre_en</t>
        </is>
      </c>
      <c r="D214" s="33" t="inlineStr">
        <is>
          <t>ENAME / name.en</t>
        </is>
      </c>
      <c r="E214" s="33" t="inlineStr">
        <is>
          <t>Nombre en inglés del lugar (circunscripción, parada o estación).</t>
        </is>
      </c>
      <c r="F214" s="33" t="inlineStr">
        <is>
          <t>Texto</t>
        </is>
      </c>
      <c r="G214" s="33" t="inlineStr">
        <is>
          <t>—</t>
        </is>
      </c>
      <c r="H214" s="33" t="inlineStr">
        <is>
          <t>Stubbs Road</t>
        </is>
      </c>
      <c r="I214" s="33" t="inlineStr">
        <is>
          <t>No</t>
        </is>
      </c>
      <c r="J214" s="33" t="inlineStr">
        <is>
          <t>452 valores distintos</t>
        </is>
      </c>
      <c r="K214" s="33" t="inlineStr">
        <is>
          <t>Pública</t>
        </is>
      </c>
      <c r="L214" s="33" t="inlineStr">
        <is>
          <t>Renombrado.</t>
        </is>
      </c>
      <c r="M214" s="33" t="inlineStr">
        <is>
          <t>¿Cómo se llama este lugar?</t>
        </is>
      </c>
    </row>
    <row r="215" ht="15.75" customHeight="1" s="24">
      <c r="A215" s="33" t="inlineStr">
        <is>
          <t>F19, F20, F21, F22, F23, F24, F25, F27, F32</t>
        </is>
      </c>
      <c r="B215" s="33" t="inlineStr">
        <is>
          <t>public/data/atlas_zonas.json</t>
        </is>
      </c>
      <c r="C215" s="33" t="inlineStr">
        <is>
          <t>circunscripciones[].nombre_zh</t>
        </is>
      </c>
      <c r="D215" s="33" t="inlineStr">
        <is>
          <t>CNAME / name.zh</t>
        </is>
      </c>
      <c r="E215" s="33" t="inlineStr">
        <is>
          <t>Nombre en chino del lugar (circunscripción, parada o estación).</t>
        </is>
      </c>
      <c r="F215" s="33" t="inlineStr">
        <is>
          <t>Texto</t>
        </is>
      </c>
      <c r="G215" s="33" t="inlineStr">
        <is>
          <t>—</t>
        </is>
      </c>
      <c r="H215" s="33" t="inlineStr">
        <is>
          <t>司徒拔道</t>
        </is>
      </c>
      <c r="I215" s="33" t="inlineStr">
        <is>
          <t>No</t>
        </is>
      </c>
      <c r="J215" s="33" t="inlineStr">
        <is>
          <t>452 valores distintos</t>
        </is>
      </c>
      <c r="K215" s="33" t="inlineStr">
        <is>
          <t>Pública</t>
        </is>
      </c>
      <c r="L215" s="33" t="inlineStr">
        <is>
          <t>Renombrado.</t>
        </is>
      </c>
      <c r="M215" s="33" t="inlineStr">
        <is>
          <t>¿Cómo se llama este lugar en chino?</t>
        </is>
      </c>
    </row>
    <row r="216" ht="15.75" customHeight="1" s="24">
      <c r="A216" s="33" t="inlineStr">
        <is>
          <t>F19</t>
        </is>
      </c>
      <c r="B216" s="33" t="inlineStr">
        <is>
          <t>public/data/atlas_zonas.json</t>
        </is>
      </c>
      <c r="C216" s="33" t="inlineStr">
        <is>
          <t>circunscripciones[].codigo</t>
        </is>
      </c>
      <c r="D216" s="33" t="inlineStr">
        <is>
          <t>dc_class / 1ª letra de CACODE</t>
        </is>
      </c>
      <c r="E216" s="33" t="inlineStr">
        <is>
          <t>Código de letra del distrito (A–T) usado por el censo y la EAC.</t>
        </is>
      </c>
      <c r="F216" s="33" t="inlineStr">
        <is>
          <t>Texto</t>
        </is>
      </c>
      <c r="G216" s="33" t="inlineStr">
        <is>
          <t>—</t>
        </is>
      </c>
      <c r="H216" s="33" t="inlineStr">
        <is>
          <t>B</t>
        </is>
      </c>
      <c r="I216" s="33" t="inlineStr">
        <is>
          <t>No</t>
        </is>
      </c>
      <c r="J216" s="33" t="inlineStr">
        <is>
          <t>18 valores distintos</t>
        </is>
      </c>
      <c r="K216" s="33" t="inlineStr">
        <is>
          <t>Pública</t>
        </is>
      </c>
      <c r="L216" s="33" t="inlineStr">
        <is>
          <t>Derivado de la primera letra del código DCCA; se usa como llave de unión entre todas las tablas.</t>
        </is>
      </c>
      <c r="M216" s="33" t="inlineStr">
        <is>
          <t>¿A qué distrito pertenece este registro?</t>
        </is>
      </c>
    </row>
    <row r="217" ht="15.75" customHeight="1" s="24">
      <c r="A217" s="33" t="inlineStr">
        <is>
          <t>F19</t>
        </is>
      </c>
      <c r="B217" s="33" t="inlineStr">
        <is>
          <t>public/data/atlas_zonas.json</t>
        </is>
      </c>
      <c r="C217" s="33" t="inlineStr">
        <is>
          <t>circunscripciones[].distrito_en</t>
        </is>
      </c>
      <c r="D217" s="33" t="inlineStr">
        <is>
          <t>dc_eng</t>
        </is>
      </c>
      <c r="E217" s="33" t="inlineStr">
        <is>
          <t>Nombre oficial del distrito en inglés.</t>
        </is>
      </c>
      <c r="F217" s="33" t="inlineStr">
        <is>
          <t>Texto</t>
        </is>
      </c>
      <c r="G217" s="33" t="inlineStr">
        <is>
          <t>—</t>
        </is>
      </c>
      <c r="H217" s="33" t="inlineStr">
        <is>
          <t>Wan Chai</t>
        </is>
      </c>
      <c r="I217" s="33" t="inlineStr">
        <is>
          <t>No</t>
        </is>
      </c>
      <c r="J217" s="33" t="inlineStr">
        <is>
          <t>18 valores distintos</t>
        </is>
      </c>
      <c r="K217" s="33" t="inlineStr">
        <is>
          <t>Pública</t>
        </is>
      </c>
      <c r="L217" s="33" t="inlineStr">
        <is>
          <t>Estandarizado contra la tabla maestra de 18 distritos.</t>
        </is>
      </c>
      <c r="M217" s="33" t="inlineStr">
        <is>
          <t>¿Cómo se llama el distrito?</t>
        </is>
      </c>
    </row>
    <row r="218" ht="15.75" customHeight="1" s="24">
      <c r="A218" s="33" t="inlineStr">
        <is>
          <t>F19</t>
        </is>
      </c>
      <c r="B218" s="33" t="inlineStr">
        <is>
          <t>public/data/atlas_zonas.json</t>
        </is>
      </c>
      <c r="C218" s="33" t="inlineStr">
        <is>
          <t>circunscripciones[].distrito_es</t>
        </is>
      </c>
      <c r="D218" s="33" t="inlineStr">
        <is>
          <t>(no existe en la fuente)</t>
        </is>
      </c>
      <c r="E218" s="33" t="inlineStr">
        <is>
          <t>Nombre del distrito en español para la interfaz.</t>
        </is>
      </c>
      <c r="F218" s="33" t="inlineStr">
        <is>
          <t>Texto</t>
        </is>
      </c>
      <c r="G218" s="33" t="inlineStr">
        <is>
          <t>—</t>
        </is>
      </c>
      <c r="H218" s="33" t="inlineStr">
        <is>
          <t>Wan Chai</t>
        </is>
      </c>
      <c r="I218" s="33" t="inlineStr">
        <is>
          <t>No</t>
        </is>
      </c>
      <c r="J218" s="33" t="inlineStr">
        <is>
          <t>18 valores distintos</t>
        </is>
      </c>
      <c r="K218" s="33" t="inlineStr">
        <is>
          <t>Pública</t>
        </is>
      </c>
      <c r="L218" s="33" t="inlineStr">
        <is>
          <t>Traducción propia del nombre inglés.</t>
        </is>
      </c>
      <c r="M218" s="33" t="inlineStr">
        <is>
          <t>¿Cómo mostrar el distrito al usuario?</t>
        </is>
      </c>
    </row>
    <row r="219" ht="15.75" customHeight="1" s="24">
      <c r="A219" s="33" t="inlineStr">
        <is>
          <t>F19</t>
        </is>
      </c>
      <c r="B219" s="33" t="inlineStr">
        <is>
          <t>public/data/atlas_zonas.json</t>
        </is>
      </c>
      <c r="C219" s="33" t="inlineStr">
        <is>
          <t>circunscripciones[].region</t>
        </is>
      </c>
      <c r="D219" s="33" t="inlineStr">
        <is>
          <t>(no existe en la fuente)</t>
        </is>
      </c>
      <c r="E219" s="33" t="inlineStr">
        <is>
          <t>Gran región a la que pertenece el distrito (Isla de HK, Kowloon o Nuevos Territorios).</t>
        </is>
      </c>
      <c r="F219" s="33" t="inlineStr">
        <is>
          <t>Texto</t>
        </is>
      </c>
      <c r="G219" s="33" t="inlineStr">
        <is>
          <t>—</t>
        </is>
      </c>
      <c r="H219" s="33" t="inlineStr">
        <is>
          <t>Isla de Hong Kong</t>
        </is>
      </c>
      <c r="I219" s="33" t="inlineStr">
        <is>
          <t>No</t>
        </is>
      </c>
      <c r="J219" s="33" t="inlineStr">
        <is>
          <t>Isla de Hong Kong; Kowloon; Nuevos Territorios</t>
        </is>
      </c>
      <c r="K219" s="33" t="inlineStr">
        <is>
          <t>Pública</t>
        </is>
      </c>
      <c r="L219" s="33" t="inlineStr">
        <is>
          <t>Asignada por tabla maestra según la división administrativa oficial; traducida al español.</t>
        </is>
      </c>
      <c r="M219" s="33" t="inlineStr">
        <is>
          <t>¿Cómo se reparte la población entre las tres regiones? (Wiki 1.2)</t>
        </is>
      </c>
    </row>
    <row r="220" ht="15.75" customHeight="1" s="24">
      <c r="A220" s="33" t="inlineStr">
        <is>
          <t>F19, F20, F21, F22, F23, F24, F25, F27, F32</t>
        </is>
      </c>
      <c r="B220" s="33" t="inlineStr">
        <is>
          <t>public/data/atlas_zonas.json</t>
        </is>
      </c>
      <c r="C220" s="33" t="inlineStr">
        <is>
          <t>circunscripciones[].area_km2_poligono</t>
        </is>
      </c>
      <c r="D220" s="33" t="inlineStr">
        <is>
          <t>Shape_Area (recalculado)</t>
        </is>
      </c>
      <c r="E220" s="33" t="inlineStr">
        <is>
          <t>Área del polígono de la circunscripción calculada en SIG (incluye mar).</t>
        </is>
      </c>
      <c r="F220" s="33" t="inlineStr">
        <is>
          <t>Decimal</t>
        </is>
      </c>
      <c r="G220" s="33" t="inlineStr">
        <is>
          <t>km²</t>
        </is>
      </c>
      <c r="H220" s="33" t="inlineStr">
        <is>
          <t>4.2032</t>
        </is>
      </c>
      <c r="I220" s="33" t="inlineStr">
        <is>
          <t>No</t>
        </is>
      </c>
      <c r="J220" s="33" t="inlineStr">
        <is>
          <t>0,0458 a 388,9</t>
        </is>
      </c>
      <c r="K220" s="33" t="inlineStr">
        <is>
          <t>Pública</t>
        </is>
      </c>
      <c r="L220" s="33" t="inlineStr">
        <is>
          <t>Área recalculada en EPSG:2326 tras reparar geometrías (buffer 0).</t>
        </is>
      </c>
      <c r="M220" s="33" t="inlineStr">
        <is>
          <t>¿Qué tan grande es cada circunscripción?</t>
        </is>
      </c>
    </row>
    <row r="221" ht="15.75" customHeight="1" s="24">
      <c r="A221" s="33" t="inlineStr">
        <is>
          <t>F19, F20, F21, F22, F23, F24, F25, F27, F32</t>
        </is>
      </c>
      <c r="B221" s="33" t="inlineStr">
        <is>
          <t>public/data/atlas_zonas.json</t>
        </is>
      </c>
      <c r="C221" s="33" t="inlineStr">
        <is>
          <t>circunscripciones[].paradas_transporte</t>
        </is>
      </c>
      <c r="D221" s="33" t="inlineStr">
        <is>
          <t>(calculado)</t>
        </is>
      </c>
      <c r="E221" s="33" t="inlineStr">
        <is>
          <t>Número de paradas de transporte público con rutas activas.</t>
        </is>
      </c>
      <c r="F221" s="33" t="inlineStr">
        <is>
          <t>Entero</t>
        </is>
      </c>
      <c r="G221" s="33" t="inlineStr">
        <is>
          <t>paradas</t>
        </is>
      </c>
      <c r="H221" s="33" t="inlineStr">
        <is>
          <t>71</t>
        </is>
      </c>
      <c r="I221" s="33" t="inlineStr">
        <is>
          <t>No</t>
        </is>
      </c>
      <c r="J221" s="33" t="inlineStr">
        <is>
          <t>1 a 301</t>
        </is>
      </c>
      <c r="K221" s="33" t="inlineStr">
        <is>
          <t>Pública</t>
        </is>
      </c>
      <c r="L221" s="33" t="inlineStr">
        <is>
          <t>Conteo de paradas por código de distrito o DCCA.</t>
        </is>
      </c>
      <c r="M221" s="33" t="inlineStr">
        <is>
          <t>¿Qué zonas tienen más oferta de transporte?</t>
        </is>
      </c>
    </row>
    <row r="222" ht="15.75" customHeight="1" s="24">
      <c r="A222" s="33" t="inlineStr">
        <is>
          <t>F19, F20, F21, F22, F23, F24, F25, F27, F32</t>
        </is>
      </c>
      <c r="B222" s="33" t="inlineStr">
        <is>
          <t>public/data/atlas_zonas.json</t>
        </is>
      </c>
      <c r="C222" s="33" t="inlineStr">
        <is>
          <t>circunscripciones[].paradas_por_km2_poligono</t>
        </is>
      </c>
      <c r="D222" s="33" t="inlineStr">
        <is>
          <t>(calculado)</t>
        </is>
      </c>
      <c r="E222" s="33" t="inlineStr">
        <is>
          <t>Paradas por km² del polígono de la circunscripción (incluye mar).</t>
        </is>
      </c>
      <c r="F222" s="33" t="inlineStr">
        <is>
          <t>Decimal</t>
        </is>
      </c>
      <c r="G222" s="33" t="inlineStr">
        <is>
          <t>paradas/km²</t>
        </is>
      </c>
      <c r="H222" s="33" t="inlineStr">
        <is>
          <t>16.89</t>
        </is>
      </c>
      <c r="I222" s="33" t="inlineStr">
        <is>
          <t>No</t>
        </is>
      </c>
      <c r="J222" s="33" t="inlineStr">
        <is>
          <t>0,01 a 381,9</t>
        </is>
      </c>
      <c r="K222" s="33" t="inlineStr">
        <is>
          <t>Pública</t>
        </is>
      </c>
      <c r="L222" s="33" t="inlineStr">
        <is>
          <t>paradas_transporte / area_km2_poligono.</t>
        </is>
      </c>
      <c r="M222" s="33" t="inlineStr">
        <is>
          <t>¿Dónde es más densa la red de transporte a escala fina?</t>
        </is>
      </c>
    </row>
    <row r="223" ht="15.75" customHeight="1" s="24">
      <c r="A223" s="33" t="inlineStr">
        <is>
          <t>F19, F20, F21, F22, F23, F24, F25, F27, F32</t>
        </is>
      </c>
      <c r="B223" s="33" t="inlineStr">
        <is>
          <t>public/data/atlas_zonas.json</t>
        </is>
      </c>
      <c r="C223" s="33" t="inlineStr">
        <is>
          <t>circunscripciones[].suma_rutas_en_paradas</t>
        </is>
      </c>
      <c r="D223" s="33" t="inlineStr">
        <is>
          <t>(calculado)</t>
        </is>
      </c>
      <c r="E223" s="33" t="inlineStr">
        <is>
          <t>Suma del número de rutas en todas las paradas de la circunscripción.</t>
        </is>
      </c>
      <c r="F223" s="33" t="inlineStr">
        <is>
          <t>Entero</t>
        </is>
      </c>
      <c r="G223" s="33" t="inlineStr">
        <is>
          <t>rutas-parada</t>
        </is>
      </c>
      <c r="H223" s="33" t="inlineStr">
        <is>
          <t>170</t>
        </is>
      </c>
      <c r="I223" s="33" t="inlineStr">
        <is>
          <t>No</t>
        </is>
      </c>
      <c r="J223" s="33" t="inlineStr">
        <is>
          <t>2 a 1.914</t>
        </is>
      </c>
      <c r="K223" s="33" t="inlineStr">
        <is>
          <t>Pública</t>
        </is>
      </c>
      <c r="L223" s="33" t="inlineStr">
        <is>
          <t>Suma de n_rutas por DCCA.</t>
        </is>
      </c>
      <c r="M223" s="33" t="inlineStr">
        <is>
          <t>¿Qué circunscripciones tienen más servicio de transporte?</t>
        </is>
      </c>
    </row>
    <row r="224" ht="15.75" customHeight="1" s="24">
      <c r="A224" s="33" t="inlineStr">
        <is>
          <t>F20, F21, F22</t>
        </is>
      </c>
      <c r="B224" s="33" t="inlineStr">
        <is>
          <t>public/data/demografia.json</t>
        </is>
      </c>
      <c r="C224" s="33" t="inlineStr">
        <is>
          <t>meta.generado_utc</t>
        </is>
      </c>
      <c r="D224" s="33" t="inlineStr">
        <is>
          <t>(pipeline)</t>
        </is>
      </c>
      <c r="E224" s="33" t="inlineStr">
        <is>
          <t>Momento en que el pipeline generó el archivo.</t>
        </is>
      </c>
      <c r="F224" s="33" t="inlineStr">
        <is>
          <t>Fecha</t>
        </is>
      </c>
      <c r="G224" s="33" t="inlineStr">
        <is>
          <t>fecha-hora UTC</t>
        </is>
      </c>
      <c r="H224" s="33" t="inlineStr">
        <is>
          <t>2026-10-26T12:25:12Z</t>
        </is>
      </c>
      <c r="I224" s="33" t="inlineStr">
        <is>
          <t>No</t>
        </is>
      </c>
      <c r="J224" s="33" t="inlineStr">
        <is>
          <t>2026-10-26T12:25:12Z</t>
        </is>
      </c>
      <c r="K224" s="33" t="inlineStr">
        <is>
          <t>Pública</t>
        </is>
      </c>
      <c r="L224" s="33" t="inlineStr">
        <is>
          <t>datetime.utcnow() al escribir el archivo.</t>
        </is>
      </c>
      <c r="M224" s="33" t="inlineStr">
        <is>
          <t>¿De cuándo son los datos que veo?</t>
        </is>
      </c>
    </row>
    <row r="225" ht="15.75" customHeight="1" s="24">
      <c r="A225" s="33" t="inlineStr">
        <is>
          <t>F20, F21, F22</t>
        </is>
      </c>
      <c r="B225" s="33" t="inlineStr">
        <is>
          <t>public/data/demografia.json</t>
        </is>
      </c>
      <c r="C225" s="33" t="inlineStr">
        <is>
          <t>meta.ciudad</t>
        </is>
      </c>
      <c r="D225" s="33" t="inlineStr">
        <is>
          <t>(pipeline)</t>
        </is>
      </c>
      <c r="E225" s="33" t="inlineStr">
        <is>
          <t>Ciudad a la que corresponde el archivo.</t>
        </is>
      </c>
      <c r="F225" s="33" t="inlineStr">
        <is>
          <t>Texto</t>
        </is>
      </c>
      <c r="G225" s="33" t="inlineStr">
        <is>
          <t>—</t>
        </is>
      </c>
      <c r="H225" s="33" t="inlineStr">
        <is>
          <t>Hong Kong</t>
        </is>
      </c>
      <c r="I225" s="33" t="inlineStr">
        <is>
          <t>No</t>
        </is>
      </c>
      <c r="J225" s="33" t="inlineStr">
        <is>
          <t>Hong Kong</t>
        </is>
      </c>
      <c r="K225" s="33" t="inlineStr">
        <is>
          <t>Pública</t>
        </is>
      </c>
      <c r="L225" s="33" t="inlineStr">
        <is>
          <t>Constante.</t>
        </is>
      </c>
      <c r="M225" s="33" t="inlineStr">
        <is>
          <t>¿De qué ciudad es el tablero?</t>
        </is>
      </c>
    </row>
    <row r="226" ht="15.75" customHeight="1" s="24">
      <c r="A226" s="33" t="inlineStr">
        <is>
          <t>F20, F21, F22</t>
        </is>
      </c>
      <c r="B226" s="33" t="inlineStr">
        <is>
          <t>public/data/demografia.json</t>
        </is>
      </c>
      <c r="C226" s="33" t="inlineStr">
        <is>
          <t>meta.unidad_territorial</t>
        </is>
      </c>
      <c r="D226" s="33" t="inlineStr">
        <is>
          <t>(pipeline)</t>
        </is>
      </c>
      <c r="E226" s="33" t="inlineStr">
        <is>
          <t>Unidad territorial de las filas del archivo.</t>
        </is>
      </c>
      <c r="F226" s="33" t="inlineStr">
        <is>
          <t>Texto</t>
        </is>
      </c>
      <c r="G226" s="33" t="inlineStr">
        <is>
          <t>—</t>
        </is>
      </c>
      <c r="H226" s="33" t="inlineStr">
        <is>
          <t>18 distritos (District Council districts)</t>
        </is>
      </c>
      <c r="I226" s="33" t="inlineStr">
        <is>
          <t>No</t>
        </is>
      </c>
      <c r="J226" s="33" t="inlineStr">
        <is>
          <t>18 distritos (District Council districts)</t>
        </is>
      </c>
      <c r="K226" s="33" t="inlineStr">
        <is>
          <t>Pública</t>
        </is>
      </c>
      <c r="L226" s="33" t="inlineStr">
        <is>
          <t>Constante.</t>
        </is>
      </c>
      <c r="M226" s="33" t="inlineStr">
        <is>
          <t>¿A qué escala se lee cada cifra?</t>
        </is>
      </c>
    </row>
    <row r="227" ht="15.75" customHeight="1" s="24">
      <c r="A227" s="33" t="inlineStr">
        <is>
          <t>F20, F21, F22</t>
        </is>
      </c>
      <c r="B227" s="33" t="inlineStr">
        <is>
          <t>public/data/demografia.json</t>
        </is>
      </c>
      <c r="C227" s="33" t="inlineStr">
        <is>
          <t>meta.catalogo</t>
        </is>
      </c>
      <c r="D227" s="33" t="inlineStr">
        <is>
          <t>(pipeline)</t>
        </is>
      </c>
      <c r="E227" s="33" t="inlineStr">
        <is>
          <t>Ruta al catálogo de fuentes que documenta el archivo.</t>
        </is>
      </c>
      <c r="F227" s="33" t="inlineStr">
        <is>
          <t>Texto</t>
        </is>
      </c>
      <c r="G227" s="33" t="inlineStr">
        <is>
          <t>—</t>
        </is>
      </c>
      <c r="H227" s="33" t="inlineStr">
        <is>
          <t>catalogo/catalogo.json</t>
        </is>
      </c>
      <c r="I227" s="33" t="inlineStr">
        <is>
          <t>No</t>
        </is>
      </c>
      <c r="J227" s="33" t="inlineStr">
        <is>
          <t>catalogo/catalogo.json</t>
        </is>
      </c>
      <c r="K227" s="33" t="inlineStr">
        <is>
          <t>Pública</t>
        </is>
      </c>
      <c r="L227" s="33" t="inlineStr">
        <is>
          <t>Constante.</t>
        </is>
      </c>
      <c r="M227" s="33" t="inlineStr">
        <is>
          <t>¿Dónde está la procedencia?</t>
        </is>
      </c>
    </row>
    <row r="228" ht="15.75" customHeight="1" s="24">
      <c r="A228" s="33" t="inlineStr">
        <is>
          <t>F31</t>
        </is>
      </c>
      <c r="B228" s="33" t="inlineStr">
        <is>
          <t>public/data/demografia.json</t>
        </is>
      </c>
      <c r="C228" s="33" t="inlineStr">
        <is>
          <t>fuente</t>
        </is>
      </c>
      <c r="D228" s="33" t="inlineStr">
        <is>
          <t>(rotulado / dominio de la URL)</t>
        </is>
      </c>
      <c r="E228" s="33" t="inlineStr">
        <is>
          <t>Organismo o medio de origen del dato.</t>
        </is>
      </c>
      <c r="F228" s="33" t="inlineStr">
        <is>
          <t>Texto</t>
        </is>
      </c>
      <c r="G228" s="33" t="inlineStr">
        <is>
          <t>—</t>
        </is>
      </c>
      <c r="H228" s="33" t="inlineStr">
        <is>
          <t>Censo 2021 (C&amp;SD vía CSDI) y Encuesta General de Hogares 2016-2025</t>
        </is>
      </c>
      <c r="I228" s="33" t="inlineStr">
        <is>
          <t>No</t>
        </is>
      </c>
      <c r="J228" s="33" t="inlineStr">
        <is>
          <t>Censo 2021 (C&amp;SD vía CSDI) y Encuesta General de Hogares 2016-2025</t>
        </is>
      </c>
      <c r="K228" s="33" t="inlineStr">
        <is>
          <t>Pública</t>
        </is>
      </c>
      <c r="L228" s="33" t="inlineStr">
        <is>
          <t>En noticias se extrae el dominio de la URL con expresión regular.</t>
        </is>
      </c>
      <c r="M228" s="33" t="inlineStr">
        <is>
          <t>¿De dónde viene este dato y qué tan confiable es?</t>
        </is>
      </c>
    </row>
    <row r="229" ht="15.75" customHeight="1" s="24">
      <c r="A229" s="33" t="inlineStr">
        <is>
          <t>F19</t>
        </is>
      </c>
      <c r="B229" s="33" t="inlineStr">
        <is>
          <t>public/data/demografia.json</t>
        </is>
      </c>
      <c r="C229" s="33" t="inlineStr">
        <is>
          <t>distritos[].codigo</t>
        </is>
      </c>
      <c r="D229" s="33" t="inlineStr">
        <is>
          <t>dc_class / 1ª letra de CACODE</t>
        </is>
      </c>
      <c r="E229" s="33" t="inlineStr">
        <is>
          <t>Código de letra del distrito (A–T) usado por el censo y la EAC.</t>
        </is>
      </c>
      <c r="F229" s="33" t="inlineStr">
        <is>
          <t>Texto</t>
        </is>
      </c>
      <c r="G229" s="33" t="inlineStr">
        <is>
          <t>—</t>
        </is>
      </c>
      <c r="H229" s="33" t="inlineStr">
        <is>
          <t>A</t>
        </is>
      </c>
      <c r="I229" s="33" t="inlineStr">
        <is>
          <t>No</t>
        </is>
      </c>
      <c r="J229" s="33" t="inlineStr">
        <is>
          <t>18 valores distintos</t>
        </is>
      </c>
      <c r="K229" s="33" t="inlineStr">
        <is>
          <t>Pública</t>
        </is>
      </c>
      <c r="L229" s="33" t="inlineStr">
        <is>
          <t>Derivado de la primera letra del código DCCA; se usa como llave de unión entre todas las tablas.</t>
        </is>
      </c>
      <c r="M229" s="33" t="inlineStr">
        <is>
          <t>¿A qué distrito pertenece este registro?</t>
        </is>
      </c>
    </row>
    <row r="230" ht="15.75" customHeight="1" s="24">
      <c r="A230" s="33" t="inlineStr">
        <is>
          <t>F19</t>
        </is>
      </c>
      <c r="B230" s="33" t="inlineStr">
        <is>
          <t>public/data/demografia.json</t>
        </is>
      </c>
      <c r="C230" s="33" t="inlineStr">
        <is>
          <t>distritos[].distrito_en</t>
        </is>
      </c>
      <c r="D230" s="33" t="inlineStr">
        <is>
          <t>dc_eng</t>
        </is>
      </c>
      <c r="E230" s="33" t="inlineStr">
        <is>
          <t>Nombre oficial del distrito en inglés.</t>
        </is>
      </c>
      <c r="F230" s="33" t="inlineStr">
        <is>
          <t>Texto</t>
        </is>
      </c>
      <c r="G230" s="33" t="inlineStr">
        <is>
          <t>—</t>
        </is>
      </c>
      <c r="H230" s="33" t="inlineStr">
        <is>
          <t>Central and Western</t>
        </is>
      </c>
      <c r="I230" s="33" t="inlineStr">
        <is>
          <t>No</t>
        </is>
      </c>
      <c r="J230" s="33" t="inlineStr">
        <is>
          <t>18 valores distintos</t>
        </is>
      </c>
      <c r="K230" s="33" t="inlineStr">
        <is>
          <t>Pública</t>
        </is>
      </c>
      <c r="L230" s="33" t="inlineStr">
        <is>
          <t>Estandarizado contra la tabla maestra de 18 distritos.</t>
        </is>
      </c>
      <c r="M230" s="33" t="inlineStr">
        <is>
          <t>¿Cómo se llama el distrito?</t>
        </is>
      </c>
    </row>
    <row r="231" ht="15.75" customHeight="1" s="24">
      <c r="A231" s="33" t="inlineStr">
        <is>
          <t>F22</t>
        </is>
      </c>
      <c r="B231" s="33" t="inlineStr">
        <is>
          <t>public/data/demografia.json</t>
        </is>
      </c>
      <c r="C231" s="33" t="inlineStr">
        <is>
          <t>distritos[].distrito_zh</t>
        </is>
      </c>
      <c r="D231" s="33" t="inlineStr">
        <is>
          <t>District (中文)</t>
        </is>
      </c>
      <c r="E231" s="33" t="inlineStr">
        <is>
          <t>Nombre del distrito en chino tradicional.</t>
        </is>
      </c>
      <c r="F231" s="33" t="inlineStr">
        <is>
          <t>Texto</t>
        </is>
      </c>
      <c r="G231" s="33" t="inlineStr">
        <is>
          <t>—</t>
        </is>
      </c>
      <c r="H231" s="33" t="inlineStr">
        <is>
          <t>中西區</t>
        </is>
      </c>
      <c r="I231" s="33" t="inlineStr">
        <is>
          <t>No</t>
        </is>
      </c>
      <c r="J231" s="33" t="inlineStr">
        <is>
          <t>18 valores distintos</t>
        </is>
      </c>
      <c r="K231" s="33" t="inlineStr">
        <is>
          <t>Pública</t>
        </is>
      </c>
      <c r="L231" s="33" t="inlineStr">
        <is>
          <t>Copiado de curated/geo/distritos.csv (unión por codigo). Origen: Tomado de la tabla de Wikipedia y unido por nombre inglés.</t>
        </is>
      </c>
      <c r="M231" s="33" t="inlineStr">
        <is>
          <t>¿Cómo se llama el distrito en chino?</t>
        </is>
      </c>
    </row>
    <row r="232" ht="15.75" customHeight="1" s="24">
      <c r="A232" s="33" t="inlineStr">
        <is>
          <t>F19</t>
        </is>
      </c>
      <c r="B232" s="33" t="inlineStr">
        <is>
          <t>public/data/demografia.json</t>
        </is>
      </c>
      <c r="C232" s="33" t="inlineStr">
        <is>
          <t>distritos[].distrito_es</t>
        </is>
      </c>
      <c r="D232" s="33" t="inlineStr">
        <is>
          <t>(no existe en la fuente)</t>
        </is>
      </c>
      <c r="E232" s="33" t="inlineStr">
        <is>
          <t>Nombre del distrito en español para la interfaz.</t>
        </is>
      </c>
      <c r="F232" s="33" t="inlineStr">
        <is>
          <t>Texto</t>
        </is>
      </c>
      <c r="G232" s="33" t="inlineStr">
        <is>
          <t>—</t>
        </is>
      </c>
      <c r="H232" s="33" t="inlineStr">
        <is>
          <t>Centro y Oeste</t>
        </is>
      </c>
      <c r="I232" s="33" t="inlineStr">
        <is>
          <t>No</t>
        </is>
      </c>
      <c r="J232" s="33" t="inlineStr">
        <is>
          <t>18 valores distintos</t>
        </is>
      </c>
      <c r="K232" s="33" t="inlineStr">
        <is>
          <t>Pública</t>
        </is>
      </c>
      <c r="L232" s="33" t="inlineStr">
        <is>
          <t>Traducción propia del nombre inglés.</t>
        </is>
      </c>
      <c r="M232" s="33" t="inlineStr">
        <is>
          <t>¿Cómo mostrar el distrito al usuario?</t>
        </is>
      </c>
    </row>
    <row r="233" ht="15.75" customHeight="1" s="24">
      <c r="A233" s="33" t="inlineStr">
        <is>
          <t>F19</t>
        </is>
      </c>
      <c r="B233" s="33" t="inlineStr">
        <is>
          <t>public/data/demografia.json</t>
        </is>
      </c>
      <c r="C233" s="33" t="inlineStr">
        <is>
          <t>distritos[].region</t>
        </is>
      </c>
      <c r="D233" s="33" t="inlineStr">
        <is>
          <t>(no existe en la fuente)</t>
        </is>
      </c>
      <c r="E233" s="33" t="inlineStr">
        <is>
          <t>Gran región a la que pertenece el distrito (Isla de HK, Kowloon o Nuevos Territorios).</t>
        </is>
      </c>
      <c r="F233" s="33" t="inlineStr">
        <is>
          <t>Texto</t>
        </is>
      </c>
      <c r="G233" s="33" t="inlineStr">
        <is>
          <t>—</t>
        </is>
      </c>
      <c r="H233" s="33" t="inlineStr">
        <is>
          <t>Isla de Hong Kong</t>
        </is>
      </c>
      <c r="I233" s="33" t="inlineStr">
        <is>
          <t>No</t>
        </is>
      </c>
      <c r="J233" s="33" t="inlineStr">
        <is>
          <t>Isla de Hong Kong; Kowloon; Nuevos Territorios</t>
        </is>
      </c>
      <c r="K233" s="33" t="inlineStr">
        <is>
          <t>Pública</t>
        </is>
      </c>
      <c r="L233" s="33" t="inlineStr">
        <is>
          <t>Asignada por tabla maestra según la división administrativa oficial; traducida al español.</t>
        </is>
      </c>
      <c r="M233" s="33" t="inlineStr">
        <is>
          <t>¿Cómo se reparte la población entre las tres regiones? (Wiki 1.2)</t>
        </is>
      </c>
    </row>
    <row r="234" ht="15.75" customHeight="1" s="24">
      <c r="A234" s="33" t="inlineStr">
        <is>
          <t>F20</t>
        </is>
      </c>
      <c r="B234" s="33" t="inlineStr">
        <is>
          <t>public/data/demografia.json</t>
        </is>
      </c>
      <c r="C234" s="33" t="inlineStr">
        <is>
          <t>distritos[].poblacion_2021</t>
        </is>
      </c>
      <c r="D234" s="33" t="inlineStr">
        <is>
          <t>t_pop</t>
        </is>
      </c>
      <c r="E234" s="33" t="inlineStr">
        <is>
          <t>Población residente total del distrito en el Censo 2021.</t>
        </is>
      </c>
      <c r="F234" s="33" t="inlineStr">
        <is>
          <t>Entero</t>
        </is>
      </c>
      <c r="G234" s="33" t="inlineStr">
        <is>
          <t>personas</t>
        </is>
      </c>
      <c r="H234" s="33" t="inlineStr">
        <is>
          <t>235953</t>
        </is>
      </c>
      <c r="I234" s="33" t="inlineStr">
        <is>
          <t>No</t>
        </is>
      </c>
      <c r="J234" s="33" t="inlineStr">
        <is>
          <t>166.695 a 692.806</t>
        </is>
      </c>
      <c r="K234" s="33" t="inlineStr">
        <is>
          <t>Pública</t>
        </is>
      </c>
      <c r="L234" s="33" t="inlineStr">
        <is>
          <t>Copiado de curated/demografia/distritos_censo2021.csv (unión por codigo). Origen: Renombrado; descarga vía WFS CSDI.</t>
        </is>
      </c>
      <c r="M234" s="33" t="inlineStr">
        <is>
          <t>¿Cuánta gente vive en cada distrito? (Wiki 1)</t>
        </is>
      </c>
    </row>
    <row r="235" ht="15.75" customHeight="1" s="24">
      <c r="A235" s="33" t="inlineStr">
        <is>
          <t>F20</t>
        </is>
      </c>
      <c r="B235" s="33" t="inlineStr">
        <is>
          <t>public/data/demografia.json</t>
        </is>
      </c>
      <c r="C235" s="33" t="inlineStr">
        <is>
          <t>distritos[].hogares_2021</t>
        </is>
      </c>
      <c r="D235" s="33" t="inlineStr">
        <is>
          <t>dh</t>
        </is>
      </c>
      <c r="E235" s="33" t="inlineStr">
        <is>
          <t>Número de hogares domésticos en 2021.</t>
        </is>
      </c>
      <c r="F235" s="33" t="inlineStr">
        <is>
          <t>Entero</t>
        </is>
      </c>
      <c r="G235" s="33" t="inlineStr">
        <is>
          <t>hogares</t>
        </is>
      </c>
      <c r="H235" s="33" t="inlineStr">
        <is>
          <t>88922</t>
        </is>
      </c>
      <c r="I235" s="33" t="inlineStr">
        <is>
          <t>No</t>
        </is>
      </c>
      <c r="J235" s="33" t="inlineStr">
        <is>
          <t>63.128 a 247.592</t>
        </is>
      </c>
      <c r="K235" s="33" t="inlineStr">
        <is>
          <t>Pública</t>
        </is>
      </c>
      <c r="L235" s="33" t="inlineStr">
        <is>
          <t>Copiado de curated/demografia/distritos_censo2021.csv (unión por codigo). Origen: Renombrado.</t>
        </is>
      </c>
      <c r="M235" s="33" t="inlineStr">
        <is>
          <t>¿Cuántos hogares hay por distrito?</t>
        </is>
      </c>
    </row>
    <row r="236" ht="15.75" customHeight="1" s="24">
      <c r="A236" s="33" t="inlineStr">
        <is>
          <t>F20</t>
        </is>
      </c>
      <c r="B236" s="33" t="inlineStr">
        <is>
          <t>public/data/demografia.json</t>
        </is>
      </c>
      <c r="C236" s="33" t="inlineStr">
        <is>
          <t>distritos[].tamano_medio_hogar</t>
        </is>
      </c>
      <c r="D236" s="33" t="inlineStr">
        <is>
          <t>adhz</t>
        </is>
      </c>
      <c r="E236" s="33" t="inlineStr">
        <is>
          <t>Promedio de personas por hogar doméstico.</t>
        </is>
      </c>
      <c r="F236" s="33" t="inlineStr">
        <is>
          <t>Decimal</t>
        </is>
      </c>
      <c r="G236" s="33" t="inlineStr">
        <is>
          <t>personas/hogar</t>
        </is>
      </c>
      <c r="H236" s="33" t="inlineStr">
        <is>
          <t>2.6</t>
        </is>
      </c>
      <c r="I236" s="33" t="inlineStr">
        <is>
          <t>No</t>
        </is>
      </c>
      <c r="J236" s="33" t="inlineStr">
        <is>
          <t>2,5 a 2,9</t>
        </is>
      </c>
      <c r="K236" s="33" t="inlineStr">
        <is>
          <t>Pública</t>
        </is>
      </c>
      <c r="L236" s="33" t="inlineStr">
        <is>
          <t>Copiado de curated/demografia/distritos_censo2021.csv (unión por codigo). Origen: Renombrado.</t>
        </is>
      </c>
      <c r="M236" s="33" t="inlineStr">
        <is>
          <t>¿Dónde viven hogares más grandes o más pequeños? (Wiki 2.8)</t>
        </is>
      </c>
    </row>
    <row r="237" ht="15.75" customHeight="1" s="24">
      <c r="A237" s="33" t="inlineStr">
        <is>
          <t>F20</t>
        </is>
      </c>
      <c r="B237" s="33" t="inlineStr">
        <is>
          <t>public/data/demografia.json</t>
        </is>
      </c>
      <c r="C237" s="33" t="inlineStr">
        <is>
          <t>distritos[].edad_mediana</t>
        </is>
      </c>
      <c r="D237" s="33" t="inlineStr">
        <is>
          <t>t_ma (Censo 2021 (DC_21C)) / lbnp_ma_t (Encuesta General de Hogares (DC_GHS))</t>
        </is>
      </c>
      <c r="E237" s="33" t="inlineStr">
        <is>
          <t>Edad que divide a la población en dos mitades.</t>
        </is>
      </c>
      <c r="F237" s="33" t="inlineStr">
        <is>
          <t>Decimal</t>
        </is>
      </c>
      <c r="G237" s="33" t="inlineStr">
        <is>
          <t>años</t>
        </is>
      </c>
      <c r="H237" s="33" t="inlineStr">
        <is>
          <t>44.8</t>
        </is>
      </c>
      <c r="I237" s="33" t="inlineStr">
        <is>
          <t>No</t>
        </is>
      </c>
      <c r="J237" s="33" t="inlineStr">
        <is>
          <t>42,7 a 50,1</t>
        </is>
      </c>
      <c r="K237" s="33" t="inlineStr">
        <is>
          <t>Pública</t>
        </is>
      </c>
      <c r="L237" s="33" t="inlineStr">
        <is>
          <t>Copiado de curated/demografia/distritos_censo2021.csv (unión por codigo). Origen: Renombrado; en el panel GHS la fuente la publica redondeada a entero.</t>
        </is>
      </c>
      <c r="M237" s="33" t="inlineStr">
        <is>
          <t>¿Qué distritos están más envejecidos? (Wiki 1.3)</t>
        </is>
      </c>
    </row>
    <row r="238" ht="15.75" customHeight="1" s="24">
      <c r="A238" s="33" t="inlineStr">
        <is>
          <t>F20</t>
        </is>
      </c>
      <c r="B238" s="33" t="inlineStr">
        <is>
          <t>public/data/demografia.json</t>
        </is>
      </c>
      <c r="C238" s="33" t="inlineStr">
        <is>
          <t>distritos[].razon_sexos_hombres_por_1000_mujeres</t>
        </is>
      </c>
      <c r="D238" s="33" t="inlineStr">
        <is>
          <t>sr</t>
        </is>
      </c>
      <c r="E238" s="33" t="inlineStr">
        <is>
          <t>Hombres por cada 1.000 mujeres (incluye empleadas domésticas extranjeras).</t>
        </is>
      </c>
      <c r="F238" s="33" t="inlineStr">
        <is>
          <t>Entero</t>
        </is>
      </c>
      <c r="G238" s="33" t="inlineStr">
        <is>
          <t>hombres por 1.000 mujeres</t>
        </is>
      </c>
      <c r="H238" s="33" t="inlineStr">
        <is>
          <t>714</t>
        </is>
      </c>
      <c r="I238" s="33" t="inlineStr">
        <is>
          <t>No</t>
        </is>
      </c>
      <c r="J238" s="33" t="inlineStr">
        <is>
          <t>673 a 902</t>
        </is>
      </c>
      <c r="K238" s="33" t="inlineStr">
        <is>
          <t>Pública</t>
        </is>
      </c>
      <c r="L238" s="33" t="inlineStr">
        <is>
          <t>Copiado de curated/demografia/distritos_censo2021.csv (unión por codigo). Origen: Renombrado.</t>
        </is>
      </c>
      <c r="M238" s="33" t="inlineStr">
        <is>
          <t>¿Cuál es el balance entre hombres y mujeres? (Wiki 1.3)</t>
        </is>
      </c>
    </row>
    <row r="239" ht="15.75" customHeight="1" s="24">
      <c r="A239" s="33" t="inlineStr">
        <is>
          <t>F20</t>
        </is>
      </c>
      <c r="B239" s="33" t="inlineStr">
        <is>
          <t>public/data/demografia.json</t>
        </is>
      </c>
      <c r="C239" s="33" t="inlineStr">
        <is>
          <t>distritos[].pob_0_14</t>
        </is>
      </c>
      <c r="D239" s="33" t="inlineStr">
        <is>
          <t>age_1</t>
        </is>
      </c>
      <c r="E239" s="33" t="inlineStr">
        <is>
          <t>Población de 0 a 14 años.</t>
        </is>
      </c>
      <c r="F239" s="33" t="inlineStr">
        <is>
          <t>Entero</t>
        </is>
      </c>
      <c r="G239" s="33" t="inlineStr">
        <is>
          <t>personas</t>
        </is>
      </c>
      <c r="H239" s="33" t="inlineStr">
        <is>
          <t>24382</t>
        </is>
      </c>
      <c r="I239" s="33" t="inlineStr">
        <is>
          <t>No</t>
        </is>
      </c>
      <c r="J239" s="33" t="inlineStr">
        <is>
          <t>16.917 a 78.886</t>
        </is>
      </c>
      <c r="K239" s="33" t="inlineStr">
        <is>
          <t>Pública</t>
        </is>
      </c>
      <c r="L239" s="33" t="inlineStr">
        <is>
          <t>Copiado de curated/demografia/distritos_censo2021.csv (unión por codigo). Origen: Renombrado; validado: la suma de los 5 grupos = t_pop.</t>
        </is>
      </c>
      <c r="M239" s="33" t="inlineStr">
        <is>
          <t>¿Cuántos niños hay por distrito? (Wiki 1.3, 1.10)</t>
        </is>
      </c>
    </row>
    <row r="240" ht="15.75" customHeight="1" s="24">
      <c r="A240" s="33" t="inlineStr">
        <is>
          <t>F20</t>
        </is>
      </c>
      <c r="B240" s="33" t="inlineStr">
        <is>
          <t>public/data/demografia.json</t>
        </is>
      </c>
      <c r="C240" s="33" t="inlineStr">
        <is>
          <t>distritos[].pob_15_24</t>
        </is>
      </c>
      <c r="D240" s="33" t="inlineStr">
        <is>
          <t>age_2</t>
        </is>
      </c>
      <c r="E240" s="33" t="inlineStr">
        <is>
          <t>Población de 15 a 24 años.</t>
        </is>
      </c>
      <c r="F240" s="33" t="inlineStr">
        <is>
          <t>Entero</t>
        </is>
      </c>
      <c r="G240" s="33" t="inlineStr">
        <is>
          <t>personas</t>
        </is>
      </c>
      <c r="H240" s="33" t="inlineStr">
        <is>
          <t>16779</t>
        </is>
      </c>
      <c r="I240" s="33" t="inlineStr">
        <is>
          <t>No</t>
        </is>
      </c>
      <c r="J240" s="33" t="inlineStr">
        <is>
          <t>9.907 a 60.321</t>
        </is>
      </c>
      <c r="K240" s="33" t="inlineStr">
        <is>
          <t>Pública</t>
        </is>
      </c>
      <c r="L240" s="33" t="inlineStr">
        <is>
          <t>Copiado de curated/demografia/distritos_censo2021.csv (unión por codigo). Origen: Renombrado.</t>
        </is>
      </c>
      <c r="M240" s="33" t="inlineStr">
        <is>
          <t>¿Cuántos jóvenes hay por distrito?</t>
        </is>
      </c>
    </row>
    <row r="241" ht="15.75" customHeight="1" s="24">
      <c r="A241" s="33" t="inlineStr">
        <is>
          <t>F20</t>
        </is>
      </c>
      <c r="B241" s="33" t="inlineStr">
        <is>
          <t>public/data/demografia.json</t>
        </is>
      </c>
      <c r="C241" s="33" t="inlineStr">
        <is>
          <t>distritos[].pob_25_44</t>
        </is>
      </c>
      <c r="D241" s="33" t="inlineStr">
        <is>
          <t>age_3</t>
        </is>
      </c>
      <c r="E241" s="33" t="inlineStr">
        <is>
          <t>Población de 25 a 44 años.</t>
        </is>
      </c>
      <c r="F241" s="33" t="inlineStr">
        <is>
          <t>Entero</t>
        </is>
      </c>
      <c r="G241" s="33" t="inlineStr">
        <is>
          <t>personas</t>
        </is>
      </c>
      <c r="H241" s="33" t="inlineStr">
        <is>
          <t>77767</t>
        </is>
      </c>
      <c r="I241" s="33" t="inlineStr">
        <is>
          <t>No</t>
        </is>
      </c>
      <c r="J241" s="33" t="inlineStr">
        <is>
          <t>53.860 a 211.376</t>
        </is>
      </c>
      <c r="K241" s="33" t="inlineStr">
        <is>
          <t>Pública</t>
        </is>
      </c>
      <c r="L241" s="33" t="inlineStr">
        <is>
          <t>Copiado de curated/demografia/distritos_censo2021.csv (unión por codigo). Origen: Renombrado.</t>
        </is>
      </c>
      <c r="M241" s="33" t="inlineStr">
        <is>
          <t>¿Dónde se concentra la población adulta joven?</t>
        </is>
      </c>
    </row>
    <row r="242" ht="15.75" customHeight="1" s="24">
      <c r="A242" s="33" t="inlineStr">
        <is>
          <t>F20</t>
        </is>
      </c>
      <c r="B242" s="33" t="inlineStr">
        <is>
          <t>public/data/demografia.json</t>
        </is>
      </c>
      <c r="C242" s="33" t="inlineStr">
        <is>
          <t>distritos[].pob_45_64</t>
        </is>
      </c>
      <c r="D242" s="33" t="inlineStr">
        <is>
          <t>age_4</t>
        </is>
      </c>
      <c r="E242" s="33" t="inlineStr">
        <is>
          <t>Población de 45 a 64 años.</t>
        </is>
      </c>
      <c r="F242" s="33" t="inlineStr">
        <is>
          <t>Entero</t>
        </is>
      </c>
      <c r="G242" s="33" t="inlineStr">
        <is>
          <t>personas</t>
        </is>
      </c>
      <c r="H242" s="33" t="inlineStr">
        <is>
          <t>71534</t>
        </is>
      </c>
      <c r="I242" s="33" t="inlineStr">
        <is>
          <t>No</t>
        </is>
      </c>
      <c r="J242" s="33" t="inlineStr">
        <is>
          <t>50.632 a 220.703</t>
        </is>
      </c>
      <c r="K242" s="33" t="inlineStr">
        <is>
          <t>Pública</t>
        </is>
      </c>
      <c r="L242" s="33" t="inlineStr">
        <is>
          <t>Copiado de curated/demografia/distritos_censo2021.csv (unión por codigo). Origen: Renombrado.</t>
        </is>
      </c>
      <c r="M242" s="33" t="inlineStr">
        <is>
          <t>¿Dónde se concentra la población adulta mayor?</t>
        </is>
      </c>
    </row>
    <row r="243" ht="15.75" customHeight="1" s="24">
      <c r="A243" s="33" t="inlineStr">
        <is>
          <t>F20</t>
        </is>
      </c>
      <c r="B243" s="33" t="inlineStr">
        <is>
          <t>public/data/demografia.json</t>
        </is>
      </c>
      <c r="C243" s="33" t="inlineStr">
        <is>
          <t>distritos[].pob_65_mas</t>
        </is>
      </c>
      <c r="D243" s="33" t="inlineStr">
        <is>
          <t>age_5</t>
        </is>
      </c>
      <c r="E243" s="33" t="inlineStr">
        <is>
          <t>Población de 65 años o más.</t>
        </is>
      </c>
      <c r="F243" s="33" t="inlineStr">
        <is>
          <t>Entero</t>
        </is>
      </c>
      <c r="G243" s="33" t="inlineStr">
        <is>
          <t>personas</t>
        </is>
      </c>
      <c r="H243" s="33" t="inlineStr">
        <is>
          <t>45491</t>
        </is>
      </c>
      <c r="I243" s="33" t="inlineStr">
        <is>
          <t>No</t>
        </is>
      </c>
      <c r="J243" s="33" t="inlineStr">
        <is>
          <t>27.296 a 147.741</t>
        </is>
      </c>
      <c r="K243" s="33" t="inlineStr">
        <is>
          <t>Pública</t>
        </is>
      </c>
      <c r="L243" s="33" t="inlineStr">
        <is>
          <t>Copiado de curated/demografia/distritos_censo2021.csv (unión por codigo). Origen: Renombrado.</t>
        </is>
      </c>
      <c r="M243" s="33" t="inlineStr">
        <is>
          <t>¿Cuántas personas mayores hay por distrito? (Wiki 1.3)</t>
        </is>
      </c>
    </row>
    <row r="244" ht="15.75" customHeight="1" s="24">
      <c r="A244" s="33" t="inlineStr">
        <is>
          <t>F20</t>
        </is>
      </c>
      <c r="B244" s="33" t="inlineStr">
        <is>
          <t>public/data/demografia.json</t>
        </is>
      </c>
      <c r="C244" s="33" t="inlineStr">
        <is>
          <t>distritos[].pct_0_14</t>
        </is>
      </c>
      <c r="D244" s="33" t="inlineStr">
        <is>
          <t>(calculado)</t>
        </is>
      </c>
      <c r="E244" s="33" t="inlineStr">
        <is>
          <t>Porcentaje de la población con 0–14 años.</t>
        </is>
      </c>
      <c r="F244" s="33" t="inlineStr">
        <is>
          <t>Decimal</t>
        </is>
      </c>
      <c r="G244" s="33" t="inlineStr">
        <is>
          <t>%</t>
        </is>
      </c>
      <c r="H244" s="33" t="inlineStr">
        <is>
          <t>10.33</t>
        </is>
      </c>
      <c r="I244" s="33" t="inlineStr">
        <is>
          <t>No</t>
        </is>
      </c>
      <c r="J244" s="33" t="inlineStr">
        <is>
          <t>8,92 a 12,83</t>
        </is>
      </c>
      <c r="K244" s="33" t="inlineStr">
        <is>
          <t>Pública</t>
        </is>
      </c>
      <c r="L244" s="33" t="inlineStr">
        <is>
          <t>Copiado de curated/demografia/distritos_censo2021.csv (unión por codigo). Origen: 100 × age_1 / t_pop, 2 decimales.</t>
        </is>
      </c>
      <c r="M244" s="33" t="inlineStr">
        <is>
          <t>¿Qué distritos tienen más peso de niños? (Wiki 1.10)</t>
        </is>
      </c>
    </row>
    <row r="245" ht="15.75" customHeight="1" s="24">
      <c r="A245" s="33" t="inlineStr">
        <is>
          <t>F20</t>
        </is>
      </c>
      <c r="B245" s="33" t="inlineStr">
        <is>
          <t>public/data/demografia.json</t>
        </is>
      </c>
      <c r="C245" s="33" t="inlineStr">
        <is>
          <t>distritos[].pct_15_24</t>
        </is>
      </c>
      <c r="D245" s="33" t="inlineStr">
        <is>
          <t>(calculado)</t>
        </is>
      </c>
      <c r="E245" s="33" t="inlineStr">
        <is>
          <t>Porcentaje de la población con 15–24 años.</t>
        </is>
      </c>
      <c r="F245" s="33" t="inlineStr">
        <is>
          <t>Decimal</t>
        </is>
      </c>
      <c r="G245" s="33" t="inlineStr">
        <is>
          <t>%</t>
        </is>
      </c>
      <c r="H245" s="33" t="inlineStr">
        <is>
          <t>7.11</t>
        </is>
      </c>
      <c r="I245" s="33" t="inlineStr">
        <is>
          <t>No</t>
        </is>
      </c>
      <c r="J245" s="33" t="inlineStr">
        <is>
          <t>5,94 a 9,07</t>
        </is>
      </c>
      <c r="K245" s="33" t="inlineStr">
        <is>
          <t>Pública</t>
        </is>
      </c>
      <c r="L245" s="33" t="inlineStr">
        <is>
          <t>Copiado de curated/demografia/distritos_censo2021.csv (unión por codigo). Origen: 100 × age_2 / t_pop.</t>
        </is>
      </c>
      <c r="M245" s="33" t="inlineStr">
        <is>
          <t>¿Qué peso tienen los jóvenes en cada distrito?</t>
        </is>
      </c>
    </row>
    <row r="246" ht="15.75" customHeight="1" s="24">
      <c r="A246" s="33" t="inlineStr">
        <is>
          <t>F20</t>
        </is>
      </c>
      <c r="B246" s="33" t="inlineStr">
        <is>
          <t>public/data/demografia.json</t>
        </is>
      </c>
      <c r="C246" s="33" t="inlineStr">
        <is>
          <t>distritos[].pct_25_44</t>
        </is>
      </c>
      <c r="D246" s="33" t="inlineStr">
        <is>
          <t>(calculado)</t>
        </is>
      </c>
      <c r="E246" s="33" t="inlineStr">
        <is>
          <t>Porcentaje de la población con 25–44 años.</t>
        </is>
      </c>
      <c r="F246" s="33" t="inlineStr">
        <is>
          <t>Decimal</t>
        </is>
      </c>
      <c r="G246" s="33" t="inlineStr">
        <is>
          <t>%</t>
        </is>
      </c>
      <c r="H246" s="33" t="inlineStr">
        <is>
          <t>32.96</t>
        </is>
      </c>
      <c r="I246" s="33" t="inlineStr">
        <is>
          <t>No</t>
        </is>
      </c>
      <c r="J246" s="33" t="inlineStr">
        <is>
          <t>25,41 a 32,96</t>
        </is>
      </c>
      <c r="K246" s="33" t="inlineStr">
        <is>
          <t>Pública</t>
        </is>
      </c>
      <c r="L246" s="33" t="inlineStr">
        <is>
          <t>Copiado de curated/demografia/distritos_censo2021.csv (unión por codigo). Origen: 100 × age_3 / t_pop.</t>
        </is>
      </c>
      <c r="M246" s="33" t="inlineStr">
        <is>
          <t>¿Qué peso tiene la población adulta joven?</t>
        </is>
      </c>
    </row>
    <row r="247" ht="15.75" customHeight="1" s="24">
      <c r="A247" s="33" t="inlineStr">
        <is>
          <t>F20</t>
        </is>
      </c>
      <c r="B247" s="33" t="inlineStr">
        <is>
          <t>public/data/demografia.json</t>
        </is>
      </c>
      <c r="C247" s="33" t="inlineStr">
        <is>
          <t>distritos[].pct_45_64</t>
        </is>
      </c>
      <c r="D247" s="33" t="inlineStr">
        <is>
          <t>(calculado)</t>
        </is>
      </c>
      <c r="E247" s="33" t="inlineStr">
        <is>
          <t>Porcentaje de la población con 45–64 años.</t>
        </is>
      </c>
      <c r="F247" s="33" t="inlineStr">
        <is>
          <t>Decimal</t>
        </is>
      </c>
      <c r="G247" s="33" t="inlineStr">
        <is>
          <t>%</t>
        </is>
      </c>
      <c r="H247" s="33" t="inlineStr">
        <is>
          <t>30.32</t>
        </is>
      </c>
      <c r="I247" s="33" t="inlineStr">
        <is>
          <t>No</t>
        </is>
      </c>
      <c r="J247" s="33" t="inlineStr">
        <is>
          <t>30,32 a 34,49</t>
        </is>
      </c>
      <c r="K247" s="33" t="inlineStr">
        <is>
          <t>Pública</t>
        </is>
      </c>
      <c r="L247" s="33" t="inlineStr">
        <is>
          <t>Copiado de curated/demografia/distritos_censo2021.csv (unión por codigo). Origen: 100 × age_4 / t_pop.</t>
        </is>
      </c>
      <c r="M247" s="33" t="inlineStr">
        <is>
          <t>¿Qué peso tiene la población adulta mayor?</t>
        </is>
      </c>
    </row>
    <row r="248" ht="15.75" customHeight="1" s="24">
      <c r="A248" s="33" t="inlineStr">
        <is>
          <t>F20</t>
        </is>
      </c>
      <c r="B248" s="33" t="inlineStr">
        <is>
          <t>public/data/demografia.json</t>
        </is>
      </c>
      <c r="C248" s="33" t="inlineStr">
        <is>
          <t>distritos[].pct_65_mas</t>
        </is>
      </c>
      <c r="D248" s="33" t="inlineStr">
        <is>
          <t>(calculado)</t>
        </is>
      </c>
      <c r="E248" s="33" t="inlineStr">
        <is>
          <t>Porcentaje de la población con 65 años o más.</t>
        </is>
      </c>
      <c r="F248" s="33" t="inlineStr">
        <is>
          <t>Decimal</t>
        </is>
      </c>
      <c r="G248" s="33" t="inlineStr">
        <is>
          <t>%</t>
        </is>
      </c>
      <c r="H248" s="33" t="inlineStr">
        <is>
          <t>19.28</t>
        </is>
      </c>
      <c r="I248" s="33" t="inlineStr">
        <is>
          <t>No</t>
        </is>
      </c>
      <c r="J248" s="33" t="inlineStr">
        <is>
          <t>14,73 a 23,36</t>
        </is>
      </c>
      <c r="K248" s="33" t="inlineStr">
        <is>
          <t>Pública</t>
        </is>
      </c>
      <c r="L248" s="33" t="inlineStr">
        <is>
          <t>Copiado de curated/demografia/distritos_censo2021.csv (unión por codigo). Origen: 100 × age_5 / t_pop, 2 decimales.</t>
        </is>
      </c>
      <c r="M248" s="33" t="inlineStr">
        <is>
          <t>¿Qué distritos están más envejecidos? (Wiki 1.3)</t>
        </is>
      </c>
    </row>
    <row r="249" ht="15.75" customHeight="1" s="24">
      <c r="A249" s="33" t="inlineStr">
        <is>
          <t>F20</t>
        </is>
      </c>
      <c r="B249" s="33" t="inlineStr">
        <is>
          <t>public/data/demografia.json</t>
        </is>
      </c>
      <c r="C249" s="33" t="inlineStr">
        <is>
          <t>distritos[].indice_envejecimiento</t>
        </is>
      </c>
      <c r="D249" s="33" t="inlineStr">
        <is>
          <t>(calculado)</t>
        </is>
      </c>
      <c r="E249" s="33" t="inlineStr">
        <is>
          <t>Personas de 65+ por cada 100 menores de 15 años.</t>
        </is>
      </c>
      <c r="F249" s="33" t="inlineStr">
        <is>
          <t>Decimal</t>
        </is>
      </c>
      <c r="G249" s="33" t="inlineStr">
        <is>
          <t>personas 65+ por 100 de 0–14</t>
        </is>
      </c>
      <c r="H249" s="33" t="inlineStr">
        <is>
          <t>186.6</t>
        </is>
      </c>
      <c r="I249" s="33" t="inlineStr">
        <is>
          <t>No</t>
        </is>
      </c>
      <c r="J249" s="33" t="inlineStr">
        <is>
          <t>114,8 a 257,5</t>
        </is>
      </c>
      <c r="K249" s="33" t="inlineStr">
        <is>
          <t>Pública</t>
        </is>
      </c>
      <c r="L249" s="33" t="inlineStr">
        <is>
          <t>Copiado de curated/demografia/distritos_censo2021.csv (unión por codigo). Origen: 100 × age_5 / age_1.</t>
        </is>
      </c>
      <c r="M249" s="33" t="inlineStr">
        <is>
          <t>¿Dónde hay más mayores que niños? (Wiki 1.3)</t>
        </is>
      </c>
    </row>
    <row r="250" ht="15.75" customHeight="1" s="24">
      <c r="A250" s="33" t="inlineStr">
        <is>
          <t>F20</t>
        </is>
      </c>
      <c r="B250" s="33" t="inlineStr">
        <is>
          <t>public/data/demografia.json</t>
        </is>
      </c>
      <c r="C250" s="33" t="inlineStr">
        <is>
          <t>distritos[].pob_15_mas_con_titulo_universitario</t>
        </is>
      </c>
      <c r="D250" s="33" t="inlineStr">
        <is>
          <t>edu_deg</t>
        </is>
      </c>
      <c r="E250" s="33" t="inlineStr">
        <is>
          <t>Personas de 15+ cuyo nivel más alto es título universitario (grado).</t>
        </is>
      </c>
      <c r="F250" s="33" t="inlineStr">
        <is>
          <t>Entero</t>
        </is>
      </c>
      <c r="G250" s="33" t="inlineStr">
        <is>
          <t>personas</t>
        </is>
      </c>
      <c r="H250" s="33" t="inlineStr">
        <is>
          <t>89251</t>
        </is>
      </c>
      <c r="I250" s="33" t="inlineStr">
        <is>
          <t>No</t>
        </is>
      </c>
      <c r="J250" s="33" t="inlineStr">
        <is>
          <t>43.705 a 154.778</t>
        </is>
      </c>
      <c r="K250" s="33" t="inlineStr">
        <is>
          <t>Pública</t>
        </is>
      </c>
      <c r="L250" s="33" t="inlineStr">
        <is>
          <t>Copiado de curated/demografia/distritos_censo2021.csv (unión por codigo). Origen: Renombrado. No incluye educación superior no universitaria.</t>
        </is>
      </c>
      <c r="M250" s="33" t="inlineStr">
        <is>
          <t>¿Cuánta población tiene educación universitaria? (Wiki 1.6)</t>
        </is>
      </c>
    </row>
    <row r="251" ht="15.75" customHeight="1" s="24">
      <c r="A251" s="33" t="inlineStr">
        <is>
          <t>F20</t>
        </is>
      </c>
      <c r="B251" s="33" t="inlineStr">
        <is>
          <t>public/data/demografia.json</t>
        </is>
      </c>
      <c r="C251" s="33" t="inlineStr">
        <is>
          <t>distritos[].pct_titulo_universitario_15_mas</t>
        </is>
      </c>
      <c r="D251" s="33" t="inlineStr">
        <is>
          <t>(calculado)</t>
        </is>
      </c>
      <c r="E251" s="33" t="inlineStr">
        <is>
          <t>Porcentaje de la población de 15+ con título universitario.</t>
        </is>
      </c>
      <c r="F251" s="33" t="inlineStr">
        <is>
          <t>Decimal</t>
        </is>
      </c>
      <c r="G251" s="33" t="inlineStr">
        <is>
          <t>%</t>
        </is>
      </c>
      <c r="H251" s="33" t="inlineStr">
        <is>
          <t>42.18</t>
        </is>
      </c>
      <c r="I251" s="33" t="inlineStr">
        <is>
          <t>No</t>
        </is>
      </c>
      <c r="J251" s="33" t="inlineStr">
        <is>
          <t>16,42 a 42,43</t>
        </is>
      </c>
      <c r="K251" s="33" t="inlineStr">
        <is>
          <t>Pública</t>
        </is>
      </c>
      <c r="L251" s="33" t="inlineStr">
        <is>
          <t>Copiado de curated/demografia/distritos_censo2021.csv (unión por codigo). Origen: 100 × edu_deg / (t_pop − age_1).</t>
        </is>
      </c>
      <c r="M251" s="33" t="inlineStr">
        <is>
          <t>¿Qué distritos tienen más capital humano? (Wiki 1.6)</t>
        </is>
      </c>
    </row>
    <row r="252" ht="15.75" customHeight="1" s="24">
      <c r="A252" s="33" t="inlineStr">
        <is>
          <t>F20</t>
        </is>
      </c>
      <c r="B252" s="33" t="inlineStr">
        <is>
          <t>public/data/demografia.json</t>
        </is>
      </c>
      <c r="C252" s="33" t="inlineStr">
        <is>
          <t>distritos[].pob_nacida_en_hk</t>
        </is>
      </c>
      <c r="D252" s="33" t="inlineStr">
        <is>
          <t>born_hk</t>
        </is>
      </c>
      <c r="E252" s="33" t="inlineStr">
        <is>
          <t>Personas nacidas en Hong Kong.</t>
        </is>
      </c>
      <c r="F252" s="33" t="inlineStr">
        <is>
          <t>Entero</t>
        </is>
      </c>
      <c r="G252" s="33" t="inlineStr">
        <is>
          <t>personas</t>
        </is>
      </c>
      <c r="H252" s="33" t="inlineStr">
        <is>
          <t>126335</t>
        </is>
      </c>
      <c r="I252" s="33" t="inlineStr">
        <is>
          <t>No</t>
        </is>
      </c>
      <c r="J252" s="33" t="inlineStr">
        <is>
          <t>91.997 a 453.024</t>
        </is>
      </c>
      <c r="K252" s="33" t="inlineStr">
        <is>
          <t>Pública</t>
        </is>
      </c>
      <c r="L252" s="33" t="inlineStr">
        <is>
          <t>Copiado de curated/demografia/distritos_censo2021.csv (unión por codigo). Origen: Renombrado.</t>
        </is>
      </c>
      <c r="M252" s="33" t="inlineStr">
        <is>
          <t>¿Dónde vive más población local vs. migrante? (Wiki 1.9)</t>
        </is>
      </c>
    </row>
    <row r="253" ht="15.75" customHeight="1" s="24">
      <c r="A253" s="33" t="inlineStr">
        <is>
          <t>F20</t>
        </is>
      </c>
      <c r="B253" s="33" t="inlineStr">
        <is>
          <t>public/data/demografia.json</t>
        </is>
      </c>
      <c r="C253" s="33" t="inlineStr">
        <is>
          <t>distritos[].pct_nacida_en_hk</t>
        </is>
      </c>
      <c r="D253" s="33" t="inlineStr">
        <is>
          <t>(calculado)</t>
        </is>
      </c>
      <c r="E253" s="33" t="inlineStr">
        <is>
          <t>Porcentaje de la población nacida en Hong Kong.</t>
        </is>
      </c>
      <c r="F253" s="33" t="inlineStr">
        <is>
          <t>Decimal</t>
        </is>
      </c>
      <c r="G253" s="33" t="inlineStr">
        <is>
          <t>%</t>
        </is>
      </c>
      <c r="H253" s="33" t="inlineStr">
        <is>
          <t>53.54</t>
        </is>
      </c>
      <c r="I253" s="33" t="inlineStr">
        <is>
          <t>No</t>
        </is>
      </c>
      <c r="J253" s="33" t="inlineStr">
        <is>
          <t>52,55 a 68,56</t>
        </is>
      </c>
      <c r="K253" s="33" t="inlineStr">
        <is>
          <t>Pública</t>
        </is>
      </c>
      <c r="L253" s="33" t="inlineStr">
        <is>
          <t>Copiado de curated/demografia/distritos_censo2021.csv (unión por codigo). Origen: 100 × born_hk / t_pop.</t>
        </is>
      </c>
      <c r="M253" s="33" t="inlineStr">
        <is>
          <t>¿Qué distritos tienen más población nacida fuera? (Wiki 1.9)</t>
        </is>
      </c>
    </row>
    <row r="254" ht="15.75" customHeight="1" s="24">
      <c r="A254" s="33" t="inlineStr">
        <is>
          <t>F20</t>
        </is>
      </c>
      <c r="B254" s="33" t="inlineStr">
        <is>
          <t>public/data/demografia.json</t>
        </is>
      </c>
      <c r="C254" s="33" t="inlineStr">
        <is>
          <t>distritos[].pob_vivienda_publica_alquiler</t>
        </is>
      </c>
      <c r="D254" s="33" t="inlineStr">
        <is>
          <t>pop_pub</t>
        </is>
      </c>
      <c r="E254" s="33" t="inlineStr">
        <is>
          <t>Personas que viven en vivienda pública de alquiler (PRH).</t>
        </is>
      </c>
      <c r="F254" s="33" t="inlineStr">
        <is>
          <t>Entero</t>
        </is>
      </c>
      <c r="G254" s="33" t="inlineStr">
        <is>
          <t>personas</t>
        </is>
      </c>
      <c r="H254" s="33" t="inlineStr">
        <is>
          <t>8194</t>
        </is>
      </c>
      <c r="I254" s="33" t="inlineStr">
        <is>
          <t>No</t>
        </is>
      </c>
      <c r="J254" s="33" t="inlineStr">
        <is>
          <t>6.221 a 387.749</t>
        </is>
      </c>
      <c r="K254" s="33" t="inlineStr">
        <is>
          <t>Pública</t>
        </is>
      </c>
      <c r="L254" s="33" t="inlineStr">
        <is>
          <t>Copiado de curated/demografia/distritos_censo2021.csv (unión por codigo). Origen: Renombrado; validado: suma de tipos = t_pop.</t>
        </is>
      </c>
      <c r="M254" s="33" t="inlineStr">
        <is>
          <t>¿Cuánta gente depende de vivienda pública? (Wiki 2.4)</t>
        </is>
      </c>
    </row>
    <row r="255" ht="15.75" customHeight="1" s="24">
      <c r="A255" s="33" t="inlineStr">
        <is>
          <t>F20</t>
        </is>
      </c>
      <c r="B255" s="33" t="inlineStr">
        <is>
          <t>public/data/demografia.json</t>
        </is>
      </c>
      <c r="C255" s="33" t="inlineStr">
        <is>
          <t>distritos[].pob_vivienda_subsidiada_venta</t>
        </is>
      </c>
      <c r="D255" s="33" t="inlineStr">
        <is>
          <t>pop_s</t>
        </is>
      </c>
      <c r="E255" s="33" t="inlineStr">
        <is>
          <t>Personas que viven en vivienda subsidiada en propiedad (HOS y similares).</t>
        </is>
      </c>
      <c r="F255" s="33" t="inlineStr">
        <is>
          <t>Entero</t>
        </is>
      </c>
      <c r="G255" s="33" t="inlineStr">
        <is>
          <t>personas</t>
        </is>
      </c>
      <c r="H255" s="33" t="inlineStr">
        <is>
          <t>0</t>
        </is>
      </c>
      <c r="I255" s="33" t="inlineStr">
        <is>
          <t>No</t>
        </is>
      </c>
      <c r="J255" s="33" t="inlineStr">
        <is>
          <t>0 a 172.809</t>
        </is>
      </c>
      <c r="K255" s="33" t="inlineStr">
        <is>
          <t>Pública</t>
        </is>
      </c>
      <c r="L255" s="33" t="inlineStr">
        <is>
          <t>Copiado de curated/demografia/distritos_censo2021.csv (unión por codigo). Origen: Renombrado; el guion '-' de la fuente se convirtió en 0.</t>
        </is>
      </c>
      <c r="M255" s="33" t="inlineStr">
        <is>
          <t>¿Cuánta gente vive en vivienda subsidiada? (Wiki 2.4)</t>
        </is>
      </c>
    </row>
    <row r="256" ht="15.75" customHeight="1" s="24">
      <c r="A256" s="33" t="inlineStr">
        <is>
          <t>F20</t>
        </is>
      </c>
      <c r="B256" s="33" t="inlineStr">
        <is>
          <t>public/data/demografia.json</t>
        </is>
      </c>
      <c r="C256" s="33" t="inlineStr">
        <is>
          <t>distritos[].pob_vivienda_privada</t>
        </is>
      </c>
      <c r="D256" s="33" t="inlineStr">
        <is>
          <t>pop_pri</t>
        </is>
      </c>
      <c r="E256" s="33" t="inlineStr">
        <is>
          <t>Personas que viven en vivienda privada permanente.</t>
        </is>
      </c>
      <c r="F256" s="33" t="inlineStr">
        <is>
          <t>Entero</t>
        </is>
      </c>
      <c r="G256" s="33" t="inlineStr">
        <is>
          <t>personas</t>
        </is>
      </c>
      <c r="H256" s="33" t="inlineStr">
        <is>
          <t>222924</t>
        </is>
      </c>
      <c r="I256" s="33" t="inlineStr">
        <is>
          <t>No</t>
        </is>
      </c>
      <c r="J256" s="33" t="inlineStr">
        <is>
          <t>76.904 a 375.243</t>
        </is>
      </c>
      <c r="K256" s="33" t="inlineStr">
        <is>
          <t>Pública</t>
        </is>
      </c>
      <c r="L256" s="33" t="inlineStr">
        <is>
          <t>Copiado de curated/demografia/distritos_censo2021.csv (unión por codigo). Origen: Renombrado.</t>
        </is>
      </c>
      <c r="M256" s="33" t="inlineStr">
        <is>
          <t>¿Cuánta gente vive en vivienda privada? (Wiki 2.4)</t>
        </is>
      </c>
    </row>
    <row r="257" ht="15.75" customHeight="1" s="24">
      <c r="A257" s="33" t="inlineStr">
        <is>
          <t>F20</t>
        </is>
      </c>
      <c r="B257" s="33" t="inlineStr">
        <is>
          <t>public/data/demografia.json</t>
        </is>
      </c>
      <c r="C257" s="33" t="inlineStr">
        <is>
          <t>distritos[].pob_vivienda_temporal</t>
        </is>
      </c>
      <c r="D257" s="33" t="inlineStr">
        <is>
          <t>pop_tem</t>
        </is>
      </c>
      <c r="E257" s="33" t="inlineStr">
        <is>
          <t>Personas que viven en vivienda temporal.</t>
        </is>
      </c>
      <c r="F257" s="33" t="inlineStr">
        <is>
          <t>Entero</t>
        </is>
      </c>
      <c r="G257" s="33" t="inlineStr">
        <is>
          <t>personas</t>
        </is>
      </c>
      <c r="H257" s="33" t="inlineStr">
        <is>
          <t>138</t>
        </is>
      </c>
      <c r="I257" s="33" t="inlineStr">
        <is>
          <t>No</t>
        </is>
      </c>
      <c r="J257" s="33" t="inlineStr">
        <is>
          <t>116 a 16.408</t>
        </is>
      </c>
      <c r="K257" s="33" t="inlineStr">
        <is>
          <t>Pública</t>
        </is>
      </c>
      <c r="L257" s="33" t="inlineStr">
        <is>
          <t>Copiado de curated/demografia/distritos_censo2021.csv (unión por codigo). Origen: Renombrado.</t>
        </is>
      </c>
      <c r="M257" s="33" t="inlineStr">
        <is>
          <t>¿Dónde persiste la vivienda temporal? (Wiki 2.7)</t>
        </is>
      </c>
    </row>
    <row r="258" ht="15.75" customHeight="1" s="24">
      <c r="A258" s="33" t="inlineStr">
        <is>
          <t>F20</t>
        </is>
      </c>
      <c r="B258" s="33" t="inlineStr">
        <is>
          <t>public/data/demografia.json</t>
        </is>
      </c>
      <c r="C258" s="33" t="inlineStr">
        <is>
          <t>distritos[].pob_no_domestica</t>
        </is>
      </c>
      <c r="D258" s="33" t="inlineStr">
        <is>
          <t>pop_non</t>
        </is>
      </c>
      <c r="E258" s="33" t="inlineStr">
        <is>
          <t>Personas en alojamientos no domésticos (residencias, instituciones).</t>
        </is>
      </c>
      <c r="F258" s="33" t="inlineStr">
        <is>
          <t>Entero</t>
        </is>
      </c>
      <c r="G258" s="33" t="inlineStr">
        <is>
          <t>personas</t>
        </is>
      </c>
      <c r="H258" s="33" t="inlineStr">
        <is>
          <t>4697</t>
        </is>
      </c>
      <c r="I258" s="33" t="inlineStr">
        <is>
          <t>No</t>
        </is>
      </c>
      <c r="J258" s="33" t="inlineStr">
        <is>
          <t>1.632 a 9.894</t>
        </is>
      </c>
      <c r="K258" s="33" t="inlineStr">
        <is>
          <t>Pública</t>
        </is>
      </c>
      <c r="L258" s="33" t="inlineStr">
        <is>
          <t>Copiado de curated/demografia/distritos_censo2021.csv (unión por codigo). Origen: Renombrado.</t>
        </is>
      </c>
      <c r="M258" s="33" t="inlineStr">
        <is>
          <t>¿Cuánta población vive fuera de hogares domésticos? (Wiki 2.4)</t>
        </is>
      </c>
    </row>
    <row r="259" ht="15.75" customHeight="1" s="24">
      <c r="A259" s="33" t="inlineStr">
        <is>
          <t>F20</t>
        </is>
      </c>
      <c r="B259" s="33" t="inlineStr">
        <is>
          <t>public/data/demografia.json</t>
        </is>
      </c>
      <c r="C259" s="33" t="inlineStr">
        <is>
          <t>distritos[].pct_vivienda_publica_alquiler</t>
        </is>
      </c>
      <c r="D259" s="33" t="inlineStr">
        <is>
          <t>(calculado)</t>
        </is>
      </c>
      <c r="E259" s="33" t="inlineStr">
        <is>
          <t>Porcentaje de la población en vivienda pública de alquiler.</t>
        </is>
      </c>
      <c r="F259" s="33" t="inlineStr">
        <is>
          <t>Decimal</t>
        </is>
      </c>
      <c r="G259" s="33" t="inlineStr">
        <is>
          <t>%</t>
        </is>
      </c>
      <c r="H259" s="33" t="inlineStr">
        <is>
          <t>3.47</t>
        </is>
      </c>
      <c r="I259" s="33" t="inlineStr">
        <is>
          <t>No</t>
        </is>
      </c>
      <c r="J259" s="33" t="inlineStr">
        <is>
          <t>2,98 a 57,6</t>
        </is>
      </c>
      <c r="K259" s="33" t="inlineStr">
        <is>
          <t>Pública</t>
        </is>
      </c>
      <c r="L259" s="33" t="inlineStr">
        <is>
          <t>Copiado de curated/demografia/distritos_censo2021.csv (unión por codigo). Origen: 100 × pop_pub / t_pop.</t>
        </is>
      </c>
      <c r="M259" s="33" t="inlineStr">
        <is>
          <t>¿Qué distritos dependen más de la vivienda pública? (Wiki 2.4, 2.5)</t>
        </is>
      </c>
    </row>
    <row r="260" ht="15.75" customHeight="1" s="24">
      <c r="A260" s="33" t="inlineStr">
        <is>
          <t>F20</t>
        </is>
      </c>
      <c r="B260" s="33" t="inlineStr">
        <is>
          <t>public/data/demografia.json</t>
        </is>
      </c>
      <c r="C260" s="33" t="inlineStr">
        <is>
          <t>distritos[].pct_vivienda_subsidiada_venta</t>
        </is>
      </c>
      <c r="D260" s="33" t="inlineStr">
        <is>
          <t>(calculado)</t>
        </is>
      </c>
      <c r="E260" s="33" t="inlineStr">
        <is>
          <t>Porcentaje de la población en vivienda subsidiada en propiedad.</t>
        </is>
      </c>
      <c r="F260" s="33" t="inlineStr">
        <is>
          <t>Decimal</t>
        </is>
      </c>
      <c r="G260" s="33" t="inlineStr">
        <is>
          <t>%</t>
        </is>
      </c>
      <c r="H260" s="33" t="inlineStr">
        <is>
          <t>0.0</t>
        </is>
      </c>
      <c r="I260" s="33" t="inlineStr">
        <is>
          <t>No</t>
        </is>
      </c>
      <c r="J260" s="33" t="inlineStr">
        <is>
          <t>0 a 30,96</t>
        </is>
      </c>
      <c r="K260" s="33" t="inlineStr">
        <is>
          <t>Pública</t>
        </is>
      </c>
      <c r="L260" s="33" t="inlineStr">
        <is>
          <t>Copiado de curated/demografia/distritos_censo2021.csv (unión por codigo). Origen: 100 × pop_s / t_pop.</t>
        </is>
      </c>
      <c r="M260" s="33" t="inlineStr">
        <is>
          <t>¿Dónde pesa más la vivienda subsidiada? (Wiki 2.4)</t>
        </is>
      </c>
    </row>
    <row r="261" ht="15.75" customHeight="1" s="24">
      <c r="A261" s="33" t="inlineStr">
        <is>
          <t>F20</t>
        </is>
      </c>
      <c r="B261" s="33" t="inlineStr">
        <is>
          <t>public/data/demografia.json</t>
        </is>
      </c>
      <c r="C261" s="33" t="inlineStr">
        <is>
          <t>distritos[].pct_vivienda_privada</t>
        </is>
      </c>
      <c r="D261" s="33" t="inlineStr">
        <is>
          <t>(calculado)</t>
        </is>
      </c>
      <c r="E261" s="33" t="inlineStr">
        <is>
          <t>Porcentaje de la población en vivienda privada permanente.</t>
        </is>
      </c>
      <c r="F261" s="33" t="inlineStr">
        <is>
          <t>Decimal</t>
        </is>
      </c>
      <c r="G261" s="33" t="inlineStr">
        <is>
          <t>%</t>
        </is>
      </c>
      <c r="H261" s="33" t="inlineStr">
        <is>
          <t>94.48</t>
        </is>
      </c>
      <c r="I261" s="33" t="inlineStr">
        <is>
          <t>No</t>
        </is>
      </c>
      <c r="J261" s="33" t="inlineStr">
        <is>
          <t>18,9 a 95,22</t>
        </is>
      </c>
      <c r="K261" s="33" t="inlineStr">
        <is>
          <t>Pública</t>
        </is>
      </c>
      <c r="L261" s="33" t="inlineStr">
        <is>
          <t>Copiado de curated/demografia/distritos_censo2021.csv (unión por codigo). Origen: 100 × pop_pri / t_pop.</t>
        </is>
      </c>
      <c r="M261" s="33" t="inlineStr">
        <is>
          <t>¿Dónde domina el mercado privado de vivienda? (Wiki 2.4)</t>
        </is>
      </c>
    </row>
    <row r="262" ht="15.75" customHeight="1" s="24">
      <c r="A262" s="33" t="inlineStr">
        <is>
          <t>F20, F22</t>
        </is>
      </c>
      <c r="B262" s="33" t="inlineStr">
        <is>
          <t>public/data/demografia.json</t>
        </is>
      </c>
      <c r="C262" s="33" t="inlineStr">
        <is>
          <t>distritos[].densidad_hab_km2</t>
        </is>
      </c>
      <c r="D262" s="33" t="inlineStr">
        <is>
          <t>(calculado)</t>
        </is>
      </c>
      <c r="E262" s="33" t="inlineStr">
        <is>
          <t>Habitantes por kilómetro cuadrado de tierra.</t>
        </is>
      </c>
      <c r="F262" s="33" t="inlineStr">
        <is>
          <t>Decimal</t>
        </is>
      </c>
      <c r="G262" s="33" t="inlineStr">
        <is>
          <t>hab/km²</t>
        </is>
      </c>
      <c r="H262" s="33" t="inlineStr">
        <is>
          <t>18801.0</t>
        </is>
      </c>
      <c r="I262" s="33" t="inlineStr">
        <is>
          <t>No</t>
        </is>
      </c>
      <c r="J262" s="33" t="inlineStr">
        <is>
          <t>1.014 a 5,968e+04</t>
        </is>
      </c>
      <c r="K262" s="33" t="inlineStr">
        <is>
          <t>Pública</t>
        </is>
      </c>
      <c r="L262" s="33" t="inlineStr">
        <is>
          <t>Copiado de curated/demografia/distritos_censo2021.csv (unión por codigo). Origen: poblacion_2021 / area_km2_oficial, redondeado a entero.</t>
        </is>
      </c>
      <c r="M262" s="33" t="inlineStr">
        <is>
          <t>¿Qué tan denso es cada distrito? (Wiki 1.2)</t>
        </is>
      </c>
    </row>
    <row r="263" ht="15.75" customHeight="1" s="24">
      <c r="A263" s="33" t="inlineStr">
        <is>
          <t>F21</t>
        </is>
      </c>
      <c r="B263" s="33" t="inlineStr">
        <is>
          <t>public/data/demografia.json</t>
        </is>
      </c>
      <c r="C263" s="33" t="inlineStr">
        <is>
          <t>distritos[].poblacion_2025</t>
        </is>
      </c>
      <c r="D263" s="33" t="inlineStr">
        <is>
          <t>my_lp (year=2025)</t>
        </is>
      </c>
      <c r="E263" s="33" t="inlineStr">
        <is>
          <t>Población terrestre a mitad de 2025 según la Encuesta General de Hogares.</t>
        </is>
      </c>
      <c r="F263" s="33" t="inlineStr">
        <is>
          <t>Entero</t>
        </is>
      </c>
      <c r="G263" s="33" t="inlineStr">
        <is>
          <t>personas</t>
        </is>
      </c>
      <c r="H263" s="33" t="inlineStr">
        <is>
          <t>231900</t>
        </is>
      </c>
      <c r="I263" s="33" t="inlineStr">
        <is>
          <t>No</t>
        </is>
      </c>
      <c r="J263" s="33" t="inlineStr">
        <is>
          <t>163.000 a 692.400</t>
        </is>
      </c>
      <c r="K263" s="33" t="inlineStr">
        <is>
          <t>Pública</t>
        </is>
      </c>
      <c r="L263" s="33" t="inlineStr">
        <is>
          <t>Copiado de curated/demografia/distritos_censo2021.csv (unión por codigo). Origen: Filtrado al último año y unido por código.</t>
        </is>
      </c>
      <c r="M263" s="33" t="inlineStr">
        <is>
          <t>¿Cuánta gente vive hoy en cada distrito? (Wiki 1)</t>
        </is>
      </c>
    </row>
    <row r="264" ht="15.75" customHeight="1" s="24">
      <c r="A264" s="33" t="inlineStr">
        <is>
          <t>F21</t>
        </is>
      </c>
      <c r="B264" s="33" t="inlineStr">
        <is>
          <t>public/data/demografia.json</t>
        </is>
      </c>
      <c r="C264" s="33" t="inlineStr">
        <is>
          <t>distritos[].var_pob_2016_2025_pct</t>
        </is>
      </c>
      <c r="D264" s="33" t="inlineStr">
        <is>
          <t>(calculado de my_lp)</t>
        </is>
      </c>
      <c r="E264" s="33" t="inlineStr">
        <is>
          <t>Variación porcentual de la población terrestre entre 2016 y 2025.</t>
        </is>
      </c>
      <c r="F264" s="33" t="inlineStr">
        <is>
          <t>Decimal</t>
        </is>
      </c>
      <c r="G264" s="33" t="inlineStr">
        <is>
          <t>%</t>
        </is>
      </c>
      <c r="H264" s="33" t="inlineStr">
        <is>
          <t>-4.69</t>
        </is>
      </c>
      <c r="I264" s="33" t="inlineStr">
        <is>
          <t>No</t>
        </is>
      </c>
      <c r="J264" s="33" t="inlineStr">
        <is>
          <t>-12,07 a 26,53</t>
        </is>
      </c>
      <c r="K264" s="33" t="inlineStr">
        <is>
          <t>Pública</t>
        </is>
      </c>
      <c r="L264" s="33" t="inlineStr">
        <is>
          <t>Copiado de curated/demografia/distritos_censo2021.csv (unión por codigo). Origen: 100 × (my_lp 2025 / my_lp 2016 − 1).</t>
        </is>
      </c>
      <c r="M264" s="33" t="inlineStr">
        <is>
          <t>¿Qué distritos crecen y cuáles pierden población? (Wiki 1.1, 1.9)</t>
        </is>
      </c>
    </row>
    <row r="265" ht="15.75" customHeight="1" s="24">
      <c r="A265" s="33" t="inlineStr">
        <is>
          <t>F21</t>
        </is>
      </c>
      <c r="B265" s="33" t="inlineStr">
        <is>
          <t>public/data/demografia.json</t>
        </is>
      </c>
      <c r="C265" s="33" t="inlineStr">
        <is>
          <t>serie_poblacion[].anio</t>
        </is>
      </c>
      <c r="D265" s="33" t="inlineStr">
        <is>
          <t>year</t>
        </is>
      </c>
      <c r="E265" s="33" t="inlineStr">
        <is>
          <t>Año de referencia de la observación.</t>
        </is>
      </c>
      <c r="F265" s="33" t="inlineStr">
        <is>
          <t>Entero</t>
        </is>
      </c>
      <c r="G265" s="33" t="inlineStr">
        <is>
          <t>año</t>
        </is>
      </c>
      <c r="H265" s="33" t="inlineStr">
        <is>
          <t>2016</t>
        </is>
      </c>
      <c r="I265" s="33" t="inlineStr">
        <is>
          <t>No</t>
        </is>
      </c>
      <c r="J265" s="33" t="inlineStr">
        <is>
          <t>2.016 a 2.025</t>
        </is>
      </c>
      <c r="K265" s="33" t="inlineStr">
        <is>
          <t>Pública</t>
        </is>
      </c>
      <c r="L265" s="33" t="inlineStr">
        <is>
          <t>Convertido a entero.</t>
        </is>
      </c>
      <c r="M265" s="33" t="inlineStr">
        <is>
          <t>¿Cómo evoluciona el indicador en el tiempo?</t>
        </is>
      </c>
    </row>
    <row r="266" ht="15.75" customHeight="1" s="24">
      <c r="A266" s="33" t="inlineStr">
        <is>
          <t>F19</t>
        </is>
      </c>
      <c r="B266" s="33" t="inlineStr">
        <is>
          <t>public/data/demografia.json</t>
        </is>
      </c>
      <c r="C266" s="33" t="inlineStr">
        <is>
          <t>serie_poblacion[].codigo</t>
        </is>
      </c>
      <c r="D266" s="33" t="inlineStr">
        <is>
          <t>dc_class / 1ª letra de CACODE</t>
        </is>
      </c>
      <c r="E266" s="33" t="inlineStr">
        <is>
          <t>Código de letra del distrito (A–T) usado por el censo y la EAC.</t>
        </is>
      </c>
      <c r="F266" s="33" t="inlineStr">
        <is>
          <t>Texto</t>
        </is>
      </c>
      <c r="G266" s="33" t="inlineStr">
        <is>
          <t>—</t>
        </is>
      </c>
      <c r="H266" s="33" t="inlineStr">
        <is>
          <t>A</t>
        </is>
      </c>
      <c r="I266" s="33" t="inlineStr">
        <is>
          <t>No</t>
        </is>
      </c>
      <c r="J266" s="33" t="inlineStr">
        <is>
          <t>18 valores distintos</t>
        </is>
      </c>
      <c r="K266" s="33" t="inlineStr">
        <is>
          <t>Pública</t>
        </is>
      </c>
      <c r="L266" s="33" t="inlineStr">
        <is>
          <t>Derivado de la primera letra del código DCCA; se usa como llave de unión entre todas las tablas.</t>
        </is>
      </c>
      <c r="M266" s="33" t="inlineStr">
        <is>
          <t>¿A qué distrito pertenece este registro?</t>
        </is>
      </c>
    </row>
    <row r="267" ht="15.75" customHeight="1" s="24">
      <c r="A267" s="33" t="inlineStr">
        <is>
          <t>F21</t>
        </is>
      </c>
      <c r="B267" s="33" t="inlineStr">
        <is>
          <t>public/data/demografia.json</t>
        </is>
      </c>
      <c r="C267" s="33" t="inlineStr">
        <is>
          <t>serie_poblacion[].poblacion_mitad_anio</t>
        </is>
      </c>
      <c r="D267" s="33" t="inlineStr">
        <is>
          <t>my_lp</t>
        </is>
      </c>
      <c r="E267" s="33" t="inlineStr">
        <is>
          <t>Población terrestre a mitad de año del distrito.</t>
        </is>
      </c>
      <c r="F267" s="33" t="inlineStr">
        <is>
          <t>Entero</t>
        </is>
      </c>
      <c r="G267" s="33" t="inlineStr">
        <is>
          <t>personas</t>
        </is>
      </c>
      <c r="H267" s="33" t="inlineStr">
        <is>
          <t>243300</t>
        </is>
      </c>
      <c r="I267" s="33" t="inlineStr">
        <is>
          <t>No</t>
        </is>
      </c>
      <c r="J267" s="33" t="inlineStr">
        <is>
          <t>156.800 a 705.000</t>
        </is>
      </c>
      <c r="K267" s="33" t="inlineStr">
        <is>
          <t>Pública</t>
        </is>
      </c>
      <c r="L267" s="33" t="inlineStr">
        <is>
          <t>Renombrado; convertido a entero.</t>
        </is>
      </c>
      <c r="M267" s="33" t="inlineStr">
        <is>
          <t>¿Cómo cambió la población de cada distrito entre 2016 y 2025? (Wiki 1.1)</t>
        </is>
      </c>
    </row>
    <row r="268" ht="15.75" customHeight="1" s="24">
      <c r="A268" s="33" t="inlineStr">
        <is>
          <t>F20</t>
        </is>
      </c>
      <c r="B268" s="33" t="inlineStr">
        <is>
          <t>public/data/demografia.json</t>
        </is>
      </c>
      <c r="C268" s="33" t="inlineStr">
        <is>
          <t>serie_poblacion[].edad_mediana</t>
        </is>
      </c>
      <c r="D268" s="33" t="inlineStr">
        <is>
          <t>t_ma (Censo 2021 (DC_21C)) / lbnp_ma_t (Encuesta General de Hogares (DC_GHS))</t>
        </is>
      </c>
      <c r="E268" s="33" t="inlineStr">
        <is>
          <t>Edad que divide a la población en dos mitades.</t>
        </is>
      </c>
      <c r="F268" s="33" t="inlineStr">
        <is>
          <t>Entero</t>
        </is>
      </c>
      <c r="G268" s="33" t="inlineStr">
        <is>
          <t>años</t>
        </is>
      </c>
      <c r="H268" s="33" t="inlineStr">
        <is>
          <t>43</t>
        </is>
      </c>
      <c r="I268" s="33" t="inlineStr">
        <is>
          <t>No</t>
        </is>
      </c>
      <c r="J268" s="33" t="inlineStr">
        <is>
          <t>40 a 51</t>
        </is>
      </c>
      <c r="K268" s="33" t="inlineStr">
        <is>
          <t>Pública</t>
        </is>
      </c>
      <c r="L268" s="33" t="inlineStr">
        <is>
          <t>Copiado de curated/demografia/distritos_censo2021.csv (unión por codigo). Origen: Renombrado; en el panel GHS la fuente la publica redondeada a entero.</t>
        </is>
      </c>
      <c r="M268" s="33" t="inlineStr">
        <is>
          <t>¿Qué distritos están más envejecidos? (Wiki 1.3)</t>
        </is>
      </c>
    </row>
    <row r="269" ht="15.75" customHeight="1" s="24">
      <c r="A269" s="33" t="inlineStr">
        <is>
          <t>F20</t>
        </is>
      </c>
      <c r="B269" s="33" t="inlineStr">
        <is>
          <t>public/data/demografia.json</t>
        </is>
      </c>
      <c r="C269" s="33" t="inlineStr">
        <is>
          <t>piramide_hk_2021.0_14</t>
        </is>
      </c>
      <c r="D269" s="33" t="inlineStr">
        <is>
          <t>Population aged 0-14</t>
        </is>
      </c>
      <c r="E269" s="33" t="inlineStr">
        <is>
          <t>Personas de 0 a 14 años en Hong Kong (Censo 2021).</t>
        </is>
      </c>
      <c r="F269" s="33" t="inlineStr">
        <is>
          <t>Entero</t>
        </is>
      </c>
      <c r="G269" s="33" t="inlineStr">
        <is>
          <t>personas</t>
        </is>
      </c>
      <c r="H269" s="33" t="inlineStr">
        <is>
          <t>807737</t>
        </is>
      </c>
      <c r="I269" s="33" t="inlineStr">
        <is>
          <t>No</t>
        </is>
      </c>
      <c r="J269" s="33" t="inlineStr">
        <is>
          <t>807.737 a 807.737</t>
        </is>
      </c>
      <c r="K269" s="33" t="inlineStr">
        <is>
          <t>Pública</t>
        </is>
      </c>
      <c r="L269" s="33" t="inlineStr">
        <is>
          <t>Suma de los 18 distritos.</t>
        </is>
      </c>
      <c r="M269" s="33" t="inlineStr">
        <is>
          <t>¿Cómo es la estructura por edad?</t>
        </is>
      </c>
    </row>
    <row r="270" ht="15.75" customHeight="1" s="24">
      <c r="A270" s="33" t="inlineStr">
        <is>
          <t>F20</t>
        </is>
      </c>
      <c r="B270" s="33" t="inlineStr">
        <is>
          <t>public/data/demografia.json</t>
        </is>
      </c>
      <c r="C270" s="33" t="inlineStr">
        <is>
          <t>piramide_hk_2021.15_24</t>
        </is>
      </c>
      <c r="D270" s="33" t="inlineStr">
        <is>
          <t>Population aged 15-24</t>
        </is>
      </c>
      <c r="E270" s="33" t="inlineStr">
        <is>
          <t>Personas de 15 a 24 años en Hong Kong (Censo 2021).</t>
        </is>
      </c>
      <c r="F270" s="33" t="inlineStr">
        <is>
          <t>Entero</t>
        </is>
      </c>
      <c r="G270" s="33" t="inlineStr">
        <is>
          <t>personas</t>
        </is>
      </c>
      <c r="H270" s="33" t="inlineStr">
        <is>
          <t>591073</t>
        </is>
      </c>
      <c r="I270" s="33" t="inlineStr">
        <is>
          <t>No</t>
        </is>
      </c>
      <c r="J270" s="33" t="inlineStr">
        <is>
          <t>591.073 a 591.073</t>
        </is>
      </c>
      <c r="K270" s="33" t="inlineStr">
        <is>
          <t>Pública</t>
        </is>
      </c>
      <c r="L270" s="33" t="inlineStr">
        <is>
          <t>Suma de los 18 distritos.</t>
        </is>
      </c>
      <c r="M270" s="33" t="inlineStr">
        <is>
          <t>¿Cómo es la estructura por edad?</t>
        </is>
      </c>
    </row>
    <row r="271" ht="15.75" customHeight="1" s="24">
      <c r="A271" s="33" t="inlineStr">
        <is>
          <t>F20</t>
        </is>
      </c>
      <c r="B271" s="33" t="inlineStr">
        <is>
          <t>public/data/demografia.json</t>
        </is>
      </c>
      <c r="C271" s="33" t="inlineStr">
        <is>
          <t>piramide_hk_2021.25_44</t>
        </is>
      </c>
      <c r="D271" s="33" t="inlineStr">
        <is>
          <t>Population aged 25-44</t>
        </is>
      </c>
      <c r="E271" s="33" t="inlineStr">
        <is>
          <t>Personas de 25 a 44 años en Hong Kong (Censo 2021).</t>
        </is>
      </c>
      <c r="F271" s="33" t="inlineStr">
        <is>
          <t>Entero</t>
        </is>
      </c>
      <c r="G271" s="33" t="inlineStr">
        <is>
          <t>personas</t>
        </is>
      </c>
      <c r="H271" s="33" t="inlineStr">
        <is>
          <t>2159351</t>
        </is>
      </c>
      <c r="I271" s="33" t="inlineStr">
        <is>
          <t>No</t>
        </is>
      </c>
      <c r="J271" s="33" t="inlineStr">
        <is>
          <t>2.159.351 a 2.159.351</t>
        </is>
      </c>
      <c r="K271" s="33" t="inlineStr">
        <is>
          <t>Pública</t>
        </is>
      </c>
      <c r="L271" s="33" t="inlineStr">
        <is>
          <t>Suma de los 18 distritos.</t>
        </is>
      </c>
      <c r="M271" s="33" t="inlineStr">
        <is>
          <t>¿Cómo es la estructura por edad?</t>
        </is>
      </c>
    </row>
    <row r="272" ht="15.75" customHeight="1" s="24">
      <c r="A272" s="33" t="inlineStr">
        <is>
          <t>F20</t>
        </is>
      </c>
      <c r="B272" s="33" t="inlineStr">
        <is>
          <t>public/data/demografia.json</t>
        </is>
      </c>
      <c r="C272" s="33" t="inlineStr">
        <is>
          <t>piramide_hk_2021.45_64</t>
        </is>
      </c>
      <c r="D272" s="33" t="inlineStr">
        <is>
          <t>Population aged 45-64</t>
        </is>
      </c>
      <c r="E272" s="33" t="inlineStr">
        <is>
          <t>Personas de 45 a 64 años en Hong Kong (Censo 2021).</t>
        </is>
      </c>
      <c r="F272" s="33" t="inlineStr">
        <is>
          <t>Entero</t>
        </is>
      </c>
      <c r="G272" s="33" t="inlineStr">
        <is>
          <t>personas</t>
        </is>
      </c>
      <c r="H272" s="33" t="inlineStr">
        <is>
          <t>2402340</t>
        </is>
      </c>
      <c r="I272" s="33" t="inlineStr">
        <is>
          <t>No</t>
        </is>
      </c>
      <c r="J272" s="33" t="inlineStr">
        <is>
          <t>2.402.340 a 2.402.340</t>
        </is>
      </c>
      <c r="K272" s="33" t="inlineStr">
        <is>
          <t>Pública</t>
        </is>
      </c>
      <c r="L272" s="33" t="inlineStr">
        <is>
          <t>Suma de los 18 distritos.</t>
        </is>
      </c>
      <c r="M272" s="33" t="inlineStr">
        <is>
          <t>¿Cómo es la estructura por edad?</t>
        </is>
      </c>
    </row>
    <row r="273" ht="15.75" customHeight="1" s="24">
      <c r="A273" s="33" t="inlineStr">
        <is>
          <t>F20</t>
        </is>
      </c>
      <c r="B273" s="33" t="inlineStr">
        <is>
          <t>public/data/demografia.json</t>
        </is>
      </c>
      <c r="C273" s="33" t="inlineStr">
        <is>
          <t>piramide_hk_2021.65_mas</t>
        </is>
      </c>
      <c r="D273" s="33" t="inlineStr">
        <is>
          <t>Population aged 65+</t>
        </is>
      </c>
      <c r="E273" s="33" t="inlineStr">
        <is>
          <t>Personas de 65 o más años en Hong Kong (Censo 2021).</t>
        </is>
      </c>
      <c r="F273" s="33" t="inlineStr">
        <is>
          <t>Entero</t>
        </is>
      </c>
      <c r="G273" s="33" t="inlineStr">
        <is>
          <t>personas</t>
        </is>
      </c>
      <c r="H273" s="33" t="inlineStr">
        <is>
          <t>1451444</t>
        </is>
      </c>
      <c r="I273" s="33" t="inlineStr">
        <is>
          <t>No</t>
        </is>
      </c>
      <c r="J273" s="33" t="inlineStr">
        <is>
          <t>1.451.444 a 1.451.444</t>
        </is>
      </c>
      <c r="K273" s="33" t="inlineStr">
        <is>
          <t>Pública</t>
        </is>
      </c>
      <c r="L273" s="33" t="inlineStr">
        <is>
          <t>Suma de los 18 distritos.</t>
        </is>
      </c>
      <c r="M273" s="33" t="inlineStr">
        <is>
          <t>¿Cómo es la estructura por edad?</t>
        </is>
      </c>
    </row>
    <row r="274" ht="15.75" customHeight="1" s="24">
      <c r="A274" s="33" t="inlineStr">
        <is>
          <t>F20, F21, F28, F29, F30, F10</t>
        </is>
      </c>
      <c r="B274" s="33" t="inlineStr">
        <is>
          <t>public/data/economia.json</t>
        </is>
      </c>
      <c r="C274" s="33" t="inlineStr">
        <is>
          <t>meta.generado_utc</t>
        </is>
      </c>
      <c r="D274" s="33" t="inlineStr">
        <is>
          <t>(pipeline)</t>
        </is>
      </c>
      <c r="E274" s="33" t="inlineStr">
        <is>
          <t>Momento en que el pipeline generó el archivo.</t>
        </is>
      </c>
      <c r="F274" s="33" t="inlineStr">
        <is>
          <t>Fecha</t>
        </is>
      </c>
      <c r="G274" s="33" t="inlineStr">
        <is>
          <t>fecha-hora UTC</t>
        </is>
      </c>
      <c r="H274" s="33" t="inlineStr">
        <is>
          <t>2026-10-26T12:25:12Z</t>
        </is>
      </c>
      <c r="I274" s="33" t="inlineStr">
        <is>
          <t>No</t>
        </is>
      </c>
      <c r="J274" s="33" t="inlineStr">
        <is>
          <t>2026-10-26T12:25:12Z</t>
        </is>
      </c>
      <c r="K274" s="33" t="inlineStr">
        <is>
          <t>Pública</t>
        </is>
      </c>
      <c r="L274" s="33" t="inlineStr">
        <is>
          <t>datetime.utcnow() al escribir el archivo.</t>
        </is>
      </c>
      <c r="M274" s="33" t="inlineStr">
        <is>
          <t>¿De cuándo son los datos que veo?</t>
        </is>
      </c>
    </row>
    <row r="275" ht="15.75" customHeight="1" s="24">
      <c r="A275" s="33" t="inlineStr">
        <is>
          <t>F20, F21, F28, F29, F30, F10</t>
        </is>
      </c>
      <c r="B275" s="33" t="inlineStr">
        <is>
          <t>public/data/economia.json</t>
        </is>
      </c>
      <c r="C275" s="33" t="inlineStr">
        <is>
          <t>meta.ciudad</t>
        </is>
      </c>
      <c r="D275" s="33" t="inlineStr">
        <is>
          <t>(pipeline)</t>
        </is>
      </c>
      <c r="E275" s="33" t="inlineStr">
        <is>
          <t>Ciudad a la que corresponde el archivo.</t>
        </is>
      </c>
      <c r="F275" s="33" t="inlineStr">
        <is>
          <t>Texto</t>
        </is>
      </c>
      <c r="G275" s="33" t="inlineStr">
        <is>
          <t>—</t>
        </is>
      </c>
      <c r="H275" s="33" t="inlineStr">
        <is>
          <t>Hong Kong</t>
        </is>
      </c>
      <c r="I275" s="33" t="inlineStr">
        <is>
          <t>No</t>
        </is>
      </c>
      <c r="J275" s="33" t="inlineStr">
        <is>
          <t>Hong Kong</t>
        </is>
      </c>
      <c r="K275" s="33" t="inlineStr">
        <is>
          <t>Pública</t>
        </is>
      </c>
      <c r="L275" s="33" t="inlineStr">
        <is>
          <t>Constante.</t>
        </is>
      </c>
      <c r="M275" s="33" t="inlineStr">
        <is>
          <t>¿De qué ciudad es el tablero?</t>
        </is>
      </c>
    </row>
    <row r="276" ht="15.75" customHeight="1" s="24">
      <c r="A276" s="33" t="inlineStr">
        <is>
          <t>F20, F21, F28, F29, F30, F10</t>
        </is>
      </c>
      <c r="B276" s="33" t="inlineStr">
        <is>
          <t>public/data/economia.json</t>
        </is>
      </c>
      <c r="C276" s="33" t="inlineStr">
        <is>
          <t>meta.unidad_territorial</t>
        </is>
      </c>
      <c r="D276" s="33" t="inlineStr">
        <is>
          <t>(pipeline)</t>
        </is>
      </c>
      <c r="E276" s="33" t="inlineStr">
        <is>
          <t>Unidad territorial de las filas del archivo.</t>
        </is>
      </c>
      <c r="F276" s="33" t="inlineStr">
        <is>
          <t>Texto</t>
        </is>
      </c>
      <c r="G276" s="33" t="inlineStr">
        <is>
          <t>—</t>
        </is>
      </c>
      <c r="H276" s="33" t="inlineStr">
        <is>
          <t>18 distritos (District Council districts)</t>
        </is>
      </c>
      <c r="I276" s="33" t="inlineStr">
        <is>
          <t>No</t>
        </is>
      </c>
      <c r="J276" s="33" t="inlineStr">
        <is>
          <t>18 distritos (District Council districts)</t>
        </is>
      </c>
      <c r="K276" s="33" t="inlineStr">
        <is>
          <t>Pública</t>
        </is>
      </c>
      <c r="L276" s="33" t="inlineStr">
        <is>
          <t>Constante.</t>
        </is>
      </c>
      <c r="M276" s="33" t="inlineStr">
        <is>
          <t>¿A qué escala se lee cada cifra?</t>
        </is>
      </c>
    </row>
    <row r="277" ht="15.75" customHeight="1" s="24">
      <c r="A277" s="33" t="inlineStr">
        <is>
          <t>F20, F21, F28, F29, F30, F10</t>
        </is>
      </c>
      <c r="B277" s="33" t="inlineStr">
        <is>
          <t>public/data/economia.json</t>
        </is>
      </c>
      <c r="C277" s="33" t="inlineStr">
        <is>
          <t>meta.catalogo</t>
        </is>
      </c>
      <c r="D277" s="33" t="inlineStr">
        <is>
          <t>(pipeline)</t>
        </is>
      </c>
      <c r="E277" s="33" t="inlineStr">
        <is>
          <t>Ruta al catálogo de fuentes que documenta el archivo.</t>
        </is>
      </c>
      <c r="F277" s="33" t="inlineStr">
        <is>
          <t>Texto</t>
        </is>
      </c>
      <c r="G277" s="33" t="inlineStr">
        <is>
          <t>—</t>
        </is>
      </c>
      <c r="H277" s="33" t="inlineStr">
        <is>
          <t>catalogo/catalogo.json</t>
        </is>
      </c>
      <c r="I277" s="33" t="inlineStr">
        <is>
          <t>No</t>
        </is>
      </c>
      <c r="J277" s="33" t="inlineStr">
        <is>
          <t>catalogo/catalogo.json</t>
        </is>
      </c>
      <c r="K277" s="33" t="inlineStr">
        <is>
          <t>Pública</t>
        </is>
      </c>
      <c r="L277" s="33" t="inlineStr">
        <is>
          <t>Constante.</t>
        </is>
      </c>
      <c r="M277" s="33" t="inlineStr">
        <is>
          <t>¿Dónde está la procedencia?</t>
        </is>
      </c>
    </row>
    <row r="278" ht="15.75" customHeight="1" s="24">
      <c r="A278" s="33" t="inlineStr">
        <is>
          <t>F31</t>
        </is>
      </c>
      <c r="B278" s="33" t="inlineStr">
        <is>
          <t>public/data/economia.json</t>
        </is>
      </c>
      <c r="C278" s="33" t="inlineStr">
        <is>
          <t>fuente</t>
        </is>
      </c>
      <c r="D278" s="33" t="inlineStr">
        <is>
          <t>(rotulado / dominio de la URL)</t>
        </is>
      </c>
      <c r="E278" s="33" t="inlineStr">
        <is>
          <t>Organismo o medio de origen del dato.</t>
        </is>
      </c>
      <c r="F278" s="33" t="inlineStr">
        <is>
          <t>Texto</t>
        </is>
      </c>
      <c r="G278" s="33" t="inlineStr">
        <is>
          <t>—</t>
        </is>
      </c>
      <c r="H278" s="33" t="inlineStr">
        <is>
          <t>C&amp;SD (Censo 2021, Encuesta General de Hogares) · Banco Mundial vía FRED · HKPF</t>
        </is>
      </c>
      <c r="I278" s="33" t="inlineStr">
        <is>
          <t>No</t>
        </is>
      </c>
      <c r="J278" s="33" t="inlineStr">
        <is>
          <t>C&amp;SD (Censo 2021, Encuesta General de Hogares) · Banco Mundial vía FRED · HKPF</t>
        </is>
      </c>
      <c r="K278" s="33" t="inlineStr">
        <is>
          <t>Pública</t>
        </is>
      </c>
      <c r="L278" s="33" t="inlineStr">
        <is>
          <t>En noticias se extrae el dominio de la URL con expresión regular.</t>
        </is>
      </c>
      <c r="M278" s="33" t="inlineStr">
        <is>
          <t>¿De dónde viene este dato y qué tan confiable es?</t>
        </is>
      </c>
    </row>
    <row r="279" ht="15.75" customHeight="1" s="24">
      <c r="A279" s="33" t="inlineStr">
        <is>
          <t>F19</t>
        </is>
      </c>
      <c r="B279" s="33" t="inlineStr">
        <is>
          <t>public/data/economia.json</t>
        </is>
      </c>
      <c r="C279" s="33" t="inlineStr">
        <is>
          <t>distritos[].codigo</t>
        </is>
      </c>
      <c r="D279" s="33" t="inlineStr">
        <is>
          <t>dc_class / 1ª letra de CACODE</t>
        </is>
      </c>
      <c r="E279" s="33" t="inlineStr">
        <is>
          <t>Código de letra del distrito (A–T) usado por el censo y la EAC.</t>
        </is>
      </c>
      <c r="F279" s="33" t="inlineStr">
        <is>
          <t>Texto</t>
        </is>
      </c>
      <c r="G279" s="33" t="inlineStr">
        <is>
          <t>—</t>
        </is>
      </c>
      <c r="H279" s="33" t="inlineStr">
        <is>
          <t>A</t>
        </is>
      </c>
      <c r="I279" s="33" t="inlineStr">
        <is>
          <t>No</t>
        </is>
      </c>
      <c r="J279" s="33" t="inlineStr">
        <is>
          <t>18 valores distintos</t>
        </is>
      </c>
      <c r="K279" s="33" t="inlineStr">
        <is>
          <t>Pública</t>
        </is>
      </c>
      <c r="L279" s="33" t="inlineStr">
        <is>
          <t>Derivado de la primera letra del código DCCA; se usa como llave de unión entre todas las tablas.</t>
        </is>
      </c>
      <c r="M279" s="33" t="inlineStr">
        <is>
          <t>¿A qué distrito pertenece este registro?</t>
        </is>
      </c>
    </row>
    <row r="280" ht="15.75" customHeight="1" s="24">
      <c r="A280" s="33" t="inlineStr">
        <is>
          <t>F19</t>
        </is>
      </c>
      <c r="B280" s="33" t="inlineStr">
        <is>
          <t>public/data/economia.json</t>
        </is>
      </c>
      <c r="C280" s="33" t="inlineStr">
        <is>
          <t>distritos[].distrito_en</t>
        </is>
      </c>
      <c r="D280" s="33" t="inlineStr">
        <is>
          <t>dc_eng</t>
        </is>
      </c>
      <c r="E280" s="33" t="inlineStr">
        <is>
          <t>Nombre oficial del distrito en inglés.</t>
        </is>
      </c>
      <c r="F280" s="33" t="inlineStr">
        <is>
          <t>Texto</t>
        </is>
      </c>
      <c r="G280" s="33" t="inlineStr">
        <is>
          <t>—</t>
        </is>
      </c>
      <c r="H280" s="33" t="inlineStr">
        <is>
          <t>Central and Western</t>
        </is>
      </c>
      <c r="I280" s="33" t="inlineStr">
        <is>
          <t>No</t>
        </is>
      </c>
      <c r="J280" s="33" t="inlineStr">
        <is>
          <t>18 valores distintos</t>
        </is>
      </c>
      <c r="K280" s="33" t="inlineStr">
        <is>
          <t>Pública</t>
        </is>
      </c>
      <c r="L280" s="33" t="inlineStr">
        <is>
          <t>Estandarizado contra la tabla maestra de 18 distritos.</t>
        </is>
      </c>
      <c r="M280" s="33" t="inlineStr">
        <is>
          <t>¿Cómo se llama el distrito?</t>
        </is>
      </c>
    </row>
    <row r="281" ht="15.75" customHeight="1" s="24">
      <c r="A281" s="33" t="inlineStr">
        <is>
          <t>F22</t>
        </is>
      </c>
      <c r="B281" s="33" t="inlineStr">
        <is>
          <t>public/data/economia.json</t>
        </is>
      </c>
      <c r="C281" s="33" t="inlineStr">
        <is>
          <t>distritos[].distrito_zh</t>
        </is>
      </c>
      <c r="D281" s="33" t="inlineStr">
        <is>
          <t>District (中文)</t>
        </is>
      </c>
      <c r="E281" s="33" t="inlineStr">
        <is>
          <t>Nombre del distrito en chino tradicional.</t>
        </is>
      </c>
      <c r="F281" s="33" t="inlineStr">
        <is>
          <t>Texto</t>
        </is>
      </c>
      <c r="G281" s="33" t="inlineStr">
        <is>
          <t>—</t>
        </is>
      </c>
      <c r="H281" s="33" t="inlineStr">
        <is>
          <t>中西區</t>
        </is>
      </c>
      <c r="I281" s="33" t="inlineStr">
        <is>
          <t>No</t>
        </is>
      </c>
      <c r="J281" s="33" t="inlineStr">
        <is>
          <t>18 valores distintos</t>
        </is>
      </c>
      <c r="K281" s="33" t="inlineStr">
        <is>
          <t>Pública</t>
        </is>
      </c>
      <c r="L281" s="33" t="inlineStr">
        <is>
          <t>Copiado de curated/geo/distritos.csv (unión por codigo). Origen: Tomado de la tabla de Wikipedia y unido por nombre inglés.</t>
        </is>
      </c>
      <c r="M281" s="33" t="inlineStr">
        <is>
          <t>¿Cómo se llama el distrito en chino?</t>
        </is>
      </c>
    </row>
    <row r="282" ht="15.75" customHeight="1" s="24">
      <c r="A282" s="33" t="inlineStr">
        <is>
          <t>F19</t>
        </is>
      </c>
      <c r="B282" s="33" t="inlineStr">
        <is>
          <t>public/data/economia.json</t>
        </is>
      </c>
      <c r="C282" s="33" t="inlineStr">
        <is>
          <t>distritos[].distrito_es</t>
        </is>
      </c>
      <c r="D282" s="33" t="inlineStr">
        <is>
          <t>(no existe en la fuente)</t>
        </is>
      </c>
      <c r="E282" s="33" t="inlineStr">
        <is>
          <t>Nombre del distrito en español para la interfaz.</t>
        </is>
      </c>
      <c r="F282" s="33" t="inlineStr">
        <is>
          <t>Texto</t>
        </is>
      </c>
      <c r="G282" s="33" t="inlineStr">
        <is>
          <t>—</t>
        </is>
      </c>
      <c r="H282" s="33" t="inlineStr">
        <is>
          <t>Centro y Oeste</t>
        </is>
      </c>
      <c r="I282" s="33" t="inlineStr">
        <is>
          <t>No</t>
        </is>
      </c>
      <c r="J282" s="33" t="inlineStr">
        <is>
          <t>18 valores distintos</t>
        </is>
      </c>
      <c r="K282" s="33" t="inlineStr">
        <is>
          <t>Pública</t>
        </is>
      </c>
      <c r="L282" s="33" t="inlineStr">
        <is>
          <t>Traducción propia del nombre inglés.</t>
        </is>
      </c>
      <c r="M282" s="33" t="inlineStr">
        <is>
          <t>¿Cómo mostrar el distrito al usuario?</t>
        </is>
      </c>
    </row>
    <row r="283" ht="15.75" customHeight="1" s="24">
      <c r="A283" s="33" t="inlineStr">
        <is>
          <t>F19</t>
        </is>
      </c>
      <c r="B283" s="33" t="inlineStr">
        <is>
          <t>public/data/economia.json</t>
        </is>
      </c>
      <c r="C283" s="33" t="inlineStr">
        <is>
          <t>distritos[].region</t>
        </is>
      </c>
      <c r="D283" s="33" t="inlineStr">
        <is>
          <t>(no existe en la fuente)</t>
        </is>
      </c>
      <c r="E283" s="33" t="inlineStr">
        <is>
          <t>Gran región a la que pertenece el distrito (Isla de HK, Kowloon o Nuevos Territorios).</t>
        </is>
      </c>
      <c r="F283" s="33" t="inlineStr">
        <is>
          <t>Texto</t>
        </is>
      </c>
      <c r="G283" s="33" t="inlineStr">
        <is>
          <t>—</t>
        </is>
      </c>
      <c r="H283" s="33" t="inlineStr">
        <is>
          <t>Isla de Hong Kong</t>
        </is>
      </c>
      <c r="I283" s="33" t="inlineStr">
        <is>
          <t>No</t>
        </is>
      </c>
      <c r="J283" s="33" t="inlineStr">
        <is>
          <t>Isla de Hong Kong; Kowloon; Nuevos Territorios</t>
        </is>
      </c>
      <c r="K283" s="33" t="inlineStr">
        <is>
          <t>Pública</t>
        </is>
      </c>
      <c r="L283" s="33" t="inlineStr">
        <is>
          <t>Asignada por tabla maestra según la división administrativa oficial; traducida al español.</t>
        </is>
      </c>
      <c r="M283" s="33" t="inlineStr">
        <is>
          <t>¿Cómo se reparte la población entre las tres regiones? (Wiki 1.2)</t>
        </is>
      </c>
    </row>
    <row r="284" ht="15.75" customHeight="1" s="24">
      <c r="A284" s="33" t="inlineStr">
        <is>
          <t>F20</t>
        </is>
      </c>
      <c r="B284" s="33" t="inlineStr">
        <is>
          <t>public/data/economia.json</t>
        </is>
      </c>
      <c r="C284" s="33" t="inlineStr">
        <is>
          <t>distritos[].ingreso_mediano_hogar_hkd_2021</t>
        </is>
      </c>
      <c r="D284" s="33" t="inlineStr">
        <is>
          <t>ma_hh</t>
        </is>
      </c>
      <c r="E284" s="33" t="inlineStr">
        <is>
          <t>Ingreso mensual mediano de los hogares domésticos en 2021.</t>
        </is>
      </c>
      <c r="F284" s="33" t="inlineStr">
        <is>
          <t>Entero</t>
        </is>
      </c>
      <c r="G284" s="33" t="inlineStr">
        <is>
          <t>HK$ por mes</t>
        </is>
      </c>
      <c r="H284" s="33" t="inlineStr">
        <is>
          <t>45040</t>
        </is>
      </c>
      <c r="I284" s="33" t="inlineStr">
        <is>
          <t>No</t>
        </is>
      </c>
      <c r="J284" s="33" t="inlineStr">
        <is>
          <t>21.490 a 45.040</t>
        </is>
      </c>
      <c r="K284" s="33" t="inlineStr">
        <is>
          <t>Pública</t>
        </is>
      </c>
      <c r="L284" s="33" t="inlineStr">
        <is>
          <t>Copiado de curated/economia/distritos_economia.csv (unión por codigo). Origen: Renombrado.</t>
        </is>
      </c>
      <c r="M284" s="33" t="inlineStr">
        <is>
          <t>¿Qué distritos son más ricos o más pobres? (Wiki 1.7)</t>
        </is>
      </c>
    </row>
    <row r="285" ht="15.75" customHeight="1" s="24">
      <c r="A285" s="33" t="inlineStr">
        <is>
          <t>F20</t>
        </is>
      </c>
      <c r="B285" s="33" t="inlineStr">
        <is>
          <t>public/data/economia.json</t>
        </is>
      </c>
      <c r="C285" s="33" t="inlineStr">
        <is>
          <t>distritos[].ingreso_mediano_hogar_econ_activo_hkd_2021</t>
        </is>
      </c>
      <c r="D285" s="33" t="inlineStr">
        <is>
          <t>ma_econhh</t>
        </is>
      </c>
      <c r="E285" s="33" t="inlineStr">
        <is>
          <t>Ingreso mensual mediano de hogares con al menos un miembro económicamente activo (2021).</t>
        </is>
      </c>
      <c r="F285" s="33" t="inlineStr">
        <is>
          <t>Entero</t>
        </is>
      </c>
      <c r="G285" s="33" t="inlineStr">
        <is>
          <t>HK$ por mes</t>
        </is>
      </c>
      <c r="H285" s="33" t="inlineStr">
        <is>
          <t>57350</t>
        </is>
      </c>
      <c r="I285" s="33" t="inlineStr">
        <is>
          <t>No</t>
        </is>
      </c>
      <c r="J285" s="33" t="inlineStr">
        <is>
          <t>28.540 a 60.070</t>
        </is>
      </c>
      <c r="K285" s="33" t="inlineStr">
        <is>
          <t>Pública</t>
        </is>
      </c>
      <c r="L285" s="33" t="inlineStr">
        <is>
          <t>Copiado de curated/economia/distritos_economia.csv (unión por codigo). Origen: Renombrado.</t>
        </is>
      </c>
      <c r="M285" s="33" t="inlineStr">
        <is>
          <t>¿Cómo cambia la brecha de ingreso al excluir hogares sin trabajadores? (Wiki 1.7)</t>
        </is>
      </c>
    </row>
    <row r="286" ht="15.75" customHeight="1" s="24">
      <c r="A286" s="33" t="inlineStr">
        <is>
          <t>F20</t>
        </is>
      </c>
      <c r="B286" s="33" t="inlineStr">
        <is>
          <t>public/data/economia.json</t>
        </is>
      </c>
      <c r="C286" s="33" t="inlineStr">
        <is>
          <t>distritos[].ingreso_mediano_mensual_empleo_hkd_2021</t>
        </is>
      </c>
      <c r="D286" s="33" t="inlineStr">
        <is>
          <t>t_mmearn</t>
        </is>
      </c>
      <c r="E286" s="33" t="inlineStr">
        <is>
          <t>Ingreso mensual mediano por empleo principal de la población ocupada (2021).</t>
        </is>
      </c>
      <c r="F286" s="33" t="inlineStr">
        <is>
          <t>Entero</t>
        </is>
      </c>
      <c r="G286" s="33" t="inlineStr">
        <is>
          <t>HK$ por mes</t>
        </is>
      </c>
      <c r="H286" s="33" t="inlineStr">
        <is>
          <t>21250</t>
        </is>
      </c>
      <c r="I286" s="33" t="inlineStr">
        <is>
          <t>No</t>
        </is>
      </c>
      <c r="J286" s="33" t="inlineStr">
        <is>
          <t>16.000 a 21.250</t>
        </is>
      </c>
      <c r="K286" s="33" t="inlineStr">
        <is>
          <t>Pública</t>
        </is>
      </c>
      <c r="L286" s="33" t="inlineStr">
        <is>
          <t>Copiado de curated/economia/distritos_economia.csv (unión por codigo). Origen: Renombrado.</t>
        </is>
      </c>
      <c r="M286" s="33" t="inlineStr">
        <is>
          <t>¿Cuánto gana un trabajador típico de cada distrito? (Wiki 1.7)</t>
        </is>
      </c>
    </row>
    <row r="287" ht="15.75" customHeight="1" s="24">
      <c r="A287" s="33" t="inlineStr">
        <is>
          <t>F20</t>
        </is>
      </c>
      <c r="B287" s="33" t="inlineStr">
        <is>
          <t>public/data/economia.json</t>
        </is>
      </c>
      <c r="C287" s="33" t="inlineStr">
        <is>
          <t>distritos[].tasa_participacion_laboral_pct_2021</t>
        </is>
      </c>
      <c r="D287" s="33" t="inlineStr">
        <is>
          <t>lfpr_t</t>
        </is>
      </c>
      <c r="E287" s="33" t="inlineStr">
        <is>
          <t>Porcentaje de la población de 15+ que trabaja o busca trabajo (2021).</t>
        </is>
      </c>
      <c r="F287" s="33" t="inlineStr">
        <is>
          <t>Decimal</t>
        </is>
      </c>
      <c r="G287" s="33" t="inlineStr">
        <is>
          <t>%</t>
        </is>
      </c>
      <c r="H287" s="33" t="inlineStr">
        <is>
          <t>65.3</t>
        </is>
      </c>
      <c r="I287" s="33" t="inlineStr">
        <is>
          <t>No</t>
        </is>
      </c>
      <c r="J287" s="33" t="inlineStr">
        <is>
          <t>56,4 a 65,3</t>
        </is>
      </c>
      <c r="K287" s="33" t="inlineStr">
        <is>
          <t>Pública</t>
        </is>
      </c>
      <c r="L287" s="33" t="inlineStr">
        <is>
          <t>Copiado de curated/economia/distritos_economia.csv (unión por codigo). Origen: Renombrado.</t>
        </is>
      </c>
      <c r="M287" s="33" t="inlineStr">
        <is>
          <t>¿Qué tan activa es la población en el mercado laboral?</t>
        </is>
      </c>
    </row>
    <row r="288" ht="15.75" customHeight="1" s="24">
      <c r="A288" s="33" t="inlineStr">
        <is>
          <t>F20</t>
        </is>
      </c>
      <c r="B288" s="33" t="inlineStr">
        <is>
          <t>public/data/economia.json</t>
        </is>
      </c>
      <c r="C288" s="33" t="inlineStr">
        <is>
          <t>distritos[].fuerza_laboral_2021</t>
        </is>
      </c>
      <c r="D288" s="33" t="inlineStr">
        <is>
          <t>t_lf</t>
        </is>
      </c>
      <c r="E288" s="33" t="inlineStr">
        <is>
          <t>Personas en la fuerza laboral (ocupadas + desocupadas) en 2021.</t>
        </is>
      </c>
      <c r="F288" s="33" t="inlineStr">
        <is>
          <t>Entero</t>
        </is>
      </c>
      <c r="G288" s="33" t="inlineStr">
        <is>
          <t>personas</t>
        </is>
      </c>
      <c r="H288" s="33" t="inlineStr">
        <is>
          <t>138216</t>
        </is>
      </c>
      <c r="I288" s="33" t="inlineStr">
        <is>
          <t>No</t>
        </is>
      </c>
      <c r="J288" s="33" t="inlineStr">
        <is>
          <t>95.914 a 363.268</t>
        </is>
      </c>
      <c r="K288" s="33" t="inlineStr">
        <is>
          <t>Pública</t>
        </is>
      </c>
      <c r="L288" s="33" t="inlineStr">
        <is>
          <t>Copiado de curated/economia/distritos_economia.csv (unión por codigo). Origen: Renombrado.</t>
        </is>
      </c>
      <c r="M288" s="33" t="inlineStr">
        <is>
          <t>¿Cuánta fuerza laboral tiene cada distrito?</t>
        </is>
      </c>
    </row>
    <row r="289" ht="15.75" customHeight="1" s="24">
      <c r="A289" s="33" t="inlineStr">
        <is>
          <t>F20</t>
        </is>
      </c>
      <c r="B289" s="33" t="inlineStr">
        <is>
          <t>public/data/economia.json</t>
        </is>
      </c>
      <c r="C289" s="33" t="inlineStr">
        <is>
          <t>distritos[].poblacion_ocupada_2021</t>
        </is>
      </c>
      <c r="D289" s="33" t="inlineStr">
        <is>
          <t>t_wp</t>
        </is>
      </c>
      <c r="E289" s="33" t="inlineStr">
        <is>
          <t>Personas ocupadas residentes en el distrito en 2021.</t>
        </is>
      </c>
      <c r="F289" s="33" t="inlineStr">
        <is>
          <t>Entero</t>
        </is>
      </c>
      <c r="G289" s="33" t="inlineStr">
        <is>
          <t>personas</t>
        </is>
      </c>
      <c r="H289" s="33" t="inlineStr">
        <is>
          <t>132881</t>
        </is>
      </c>
      <c r="I289" s="33" t="inlineStr">
        <is>
          <t>No</t>
        </is>
      </c>
      <c r="J289" s="33" t="inlineStr">
        <is>
          <t>92.238 a 340.605</t>
        </is>
      </c>
      <c r="K289" s="33" t="inlineStr">
        <is>
          <t>Pública</t>
        </is>
      </c>
      <c r="L289" s="33" t="inlineStr">
        <is>
          <t>Copiado de curated/economia/distritos_economia.csv (unión por codigo). Origen: Renombrado.</t>
        </is>
      </c>
      <c r="M289" s="33" t="inlineStr">
        <is>
          <t>¿Cuántos trabajadores residen en cada distrito?</t>
        </is>
      </c>
    </row>
    <row r="290" ht="15.75" customHeight="1" s="24">
      <c r="A290" s="33" t="inlineStr">
        <is>
          <t>F20</t>
        </is>
      </c>
      <c r="B290" s="33" t="inlineStr">
        <is>
          <t>public/data/economia.json</t>
        </is>
      </c>
      <c r="C290" s="33" t="inlineStr">
        <is>
          <t>distritos[].tasa_ocupacion_sobre_fuerza_laboral_pct</t>
        </is>
      </c>
      <c r="D290" s="33" t="inlineStr">
        <is>
          <t>(calculado)</t>
        </is>
      </c>
      <c r="E290" s="33" t="inlineStr">
        <is>
          <t>Porcentaje de la fuerza laboral que está ocupada (100 − desempleo aproximado).</t>
        </is>
      </c>
      <c r="F290" s="33" t="inlineStr">
        <is>
          <t>Decimal</t>
        </is>
      </c>
      <c r="G290" s="33" t="inlineStr">
        <is>
          <t>%</t>
        </is>
      </c>
      <c r="H290" s="33" t="inlineStr">
        <is>
          <t>96.14</t>
        </is>
      </c>
      <c r="I290" s="33" t="inlineStr">
        <is>
          <t>No</t>
        </is>
      </c>
      <c r="J290" s="33" t="inlineStr">
        <is>
          <t>91,68 a 96,17</t>
        </is>
      </c>
      <c r="K290" s="33" t="inlineStr">
        <is>
          <t>Pública</t>
        </is>
      </c>
      <c r="L290" s="33" t="inlineStr">
        <is>
          <t>Copiado de curated/economia/distritos_economia.csv (unión por codigo). Origen: 100 × t_wp / t_lf.</t>
        </is>
      </c>
      <c r="M290" s="33" t="inlineStr">
        <is>
          <t>¿Dónde es mayor el desempleo relativo?</t>
        </is>
      </c>
    </row>
    <row r="291" ht="15.75" customHeight="1" s="24">
      <c r="A291" s="33" t="inlineStr">
        <is>
          <t>F21</t>
        </is>
      </c>
      <c r="B291" s="33" t="inlineStr">
        <is>
          <t>public/data/economia.json</t>
        </is>
      </c>
      <c r="C291" s="33" t="inlineStr">
        <is>
          <t>distritos[].ingreso_mediano_hogar_hkd_2025</t>
        </is>
      </c>
      <c r="D291" s="33" t="inlineStr">
        <is>
          <t>ma_hh (year=2025)</t>
        </is>
      </c>
      <c r="E291" s="33" t="inlineStr">
        <is>
          <t>Ingreso mensual mediano de los hogares domésticos en 2025.</t>
        </is>
      </c>
      <c r="F291" s="33" t="inlineStr">
        <is>
          <t>Entero</t>
        </is>
      </c>
      <c r="G291" s="33" t="inlineStr">
        <is>
          <t>HK$ por mes</t>
        </is>
      </c>
      <c r="H291" s="33" t="inlineStr">
        <is>
          <t>45000</t>
        </is>
      </c>
      <c r="I291" s="33" t="inlineStr">
        <is>
          <t>No</t>
        </is>
      </c>
      <c r="J291" s="33" t="inlineStr">
        <is>
          <t>24.900 a 45.000</t>
        </is>
      </c>
      <c r="K291" s="33" t="inlineStr">
        <is>
          <t>Pública</t>
        </is>
      </c>
      <c r="L291" s="33" t="inlineStr">
        <is>
          <t>Copiado de curated/economia/distritos_economia.csv (unión por codigo). Origen: Filtrado al último año del panel GHS.</t>
        </is>
      </c>
      <c r="M291" s="33" t="inlineStr">
        <is>
          <t>¿Qué distritos tienen menor ingreso hoy? (Wiki 1.7)</t>
        </is>
      </c>
    </row>
    <row r="292" ht="15.75" customHeight="1" s="24">
      <c r="A292" s="33" t="inlineStr">
        <is>
          <t>F21</t>
        </is>
      </c>
      <c r="B292" s="33" t="inlineStr">
        <is>
          <t>public/data/economia.json</t>
        </is>
      </c>
      <c r="C292" s="33" t="inlineStr">
        <is>
          <t>distritos[].tasa_participacion_laboral_pct_2025</t>
        </is>
      </c>
      <c r="D292" s="33" t="inlineStr">
        <is>
          <t>t_lfpr (year=2025)</t>
        </is>
      </c>
      <c r="E292" s="33" t="inlineStr">
        <is>
          <t>Tasa de participación laboral en 2025.</t>
        </is>
      </c>
      <c r="F292" s="33" t="inlineStr">
        <is>
          <t>Decimal</t>
        </is>
      </c>
      <c r="G292" s="33" t="inlineStr">
        <is>
          <t>%</t>
        </is>
      </c>
      <c r="H292" s="33" t="inlineStr">
        <is>
          <t>60.1</t>
        </is>
      </c>
      <c r="I292" s="33" t="inlineStr">
        <is>
          <t>No</t>
        </is>
      </c>
      <c r="J292" s="33" t="inlineStr">
        <is>
          <t>52,7 a 62,7</t>
        </is>
      </c>
      <c r="K292" s="33" t="inlineStr">
        <is>
          <t>Pública</t>
        </is>
      </c>
      <c r="L292" s="33" t="inlineStr">
        <is>
          <t>Copiado de curated/economia/distritos_economia.csv (unión por codigo). Origen: Filtrado al último año del panel GHS.</t>
        </is>
      </c>
      <c r="M292" s="33" t="inlineStr">
        <is>
          <t>¿Cómo está hoy la participación laboral por distrito?</t>
        </is>
      </c>
    </row>
    <row r="293" ht="15.75" customHeight="1" s="24">
      <c r="A293" s="33" t="inlineStr">
        <is>
          <t>F21</t>
        </is>
      </c>
      <c r="B293" s="33" t="inlineStr">
        <is>
          <t>public/data/economia.json</t>
        </is>
      </c>
      <c r="C293" s="33" t="inlineStr">
        <is>
          <t>distritos[].var_ingreso_2016_2025_pct</t>
        </is>
      </c>
      <c r="D293" s="33" t="inlineStr">
        <is>
          <t>(calculado de ma_hh)</t>
        </is>
      </c>
      <c r="E293" s="33" t="inlineStr">
        <is>
          <t>Variación porcentual nominal del ingreso mediano del hogar entre 2016 y 2025.</t>
        </is>
      </c>
      <c r="F293" s="33" t="inlineStr">
        <is>
          <t>Decimal</t>
        </is>
      </c>
      <c r="G293" s="33" t="inlineStr">
        <is>
          <t>%</t>
        </is>
      </c>
      <c r="H293" s="33" t="inlineStr">
        <is>
          <t>13.92</t>
        </is>
      </c>
      <c r="I293" s="33" t="inlineStr">
        <is>
          <t>No</t>
        </is>
      </c>
      <c r="J293" s="33" t="inlineStr">
        <is>
          <t>6,71 a 31,58</t>
        </is>
      </c>
      <c r="K293" s="33" t="inlineStr">
        <is>
          <t>Pública</t>
        </is>
      </c>
      <c r="L293" s="33" t="inlineStr">
        <is>
          <t>Copiado de curated/economia/distritos_economia.csv (unión por codigo). Origen: 100 × (ma_hh 2025 / ma_hh 2016 − 1); no ajustado por inflación.</t>
        </is>
      </c>
      <c r="M293" s="33" t="inlineStr">
        <is>
          <t>¿Dónde creció más el ingreso? (Wiki 1.7)</t>
        </is>
      </c>
    </row>
    <row r="294" ht="15.75" customHeight="1" s="24">
      <c r="A294" s="33" t="inlineStr">
        <is>
          <t>F21</t>
        </is>
      </c>
      <c r="B294" s="33" t="inlineStr">
        <is>
          <t>public/data/economia.json</t>
        </is>
      </c>
      <c r="C294" s="33" t="inlineStr">
        <is>
          <t>distritos[].indice_ingreso_vs_mediana_distritos</t>
        </is>
      </c>
      <c r="D294" s="33" t="inlineStr">
        <is>
          <t>(calculado)</t>
        </is>
      </c>
      <c r="E294" s="33" t="inlineStr">
        <is>
          <t>Ingreso mediano del hogar 2025 relativo a la mediana de los 18 distritos (=100).</t>
        </is>
      </c>
      <c r="F294" s="33" t="inlineStr">
        <is>
          <t>Decimal</t>
        </is>
      </c>
      <c r="G294" s="33" t="inlineStr">
        <is>
          <t>índice (mediana = 100)</t>
        </is>
      </c>
      <c r="H294" s="33" t="inlineStr">
        <is>
          <t>145.2</t>
        </is>
      </c>
      <c r="I294" s="33" t="inlineStr">
        <is>
          <t>No</t>
        </is>
      </c>
      <c r="J294" s="33" t="inlineStr">
        <is>
          <t>80,3 a 145,2</t>
        </is>
      </c>
      <c r="K294" s="33" t="inlineStr">
        <is>
          <t>Pública</t>
        </is>
      </c>
      <c r="L294" s="33" t="inlineStr">
        <is>
          <t>Copiado de curated/economia/distritos_economia.csv (unión por codigo). Origen: 100 × ingreso 2025 / mediana de los 18 valores.</t>
        </is>
      </c>
      <c r="M294" s="33" t="inlineStr">
        <is>
          <t>¿Qué tan por encima o debajo del típico está cada distrito?</t>
        </is>
      </c>
    </row>
    <row r="295" ht="15.75" customHeight="1" s="24">
      <c r="A295" s="33" t="inlineStr">
        <is>
          <t>F21</t>
        </is>
      </c>
      <c r="B295" s="33" t="inlineStr">
        <is>
          <t>public/data/economia.json</t>
        </is>
      </c>
      <c r="C295" s="33" t="inlineStr">
        <is>
          <t>serie_distritos[].anio</t>
        </is>
      </c>
      <c r="D295" s="33" t="inlineStr">
        <is>
          <t>year</t>
        </is>
      </c>
      <c r="E295" s="33" t="inlineStr">
        <is>
          <t>Año de referencia de la observación.</t>
        </is>
      </c>
      <c r="F295" s="33" t="inlineStr">
        <is>
          <t>Entero</t>
        </is>
      </c>
      <c r="G295" s="33" t="inlineStr">
        <is>
          <t>año</t>
        </is>
      </c>
      <c r="H295" s="33" t="inlineStr">
        <is>
          <t>2016</t>
        </is>
      </c>
      <c r="I295" s="33" t="inlineStr">
        <is>
          <t>No</t>
        </is>
      </c>
      <c r="J295" s="33" t="inlineStr">
        <is>
          <t>2.016 a 2.025</t>
        </is>
      </c>
      <c r="K295" s="33" t="inlineStr">
        <is>
          <t>Pública</t>
        </is>
      </c>
      <c r="L295" s="33" t="inlineStr">
        <is>
          <t>Convertido a entero.</t>
        </is>
      </c>
      <c r="M295" s="33" t="inlineStr">
        <is>
          <t>¿Cómo evoluciona el indicador en el tiempo?</t>
        </is>
      </c>
    </row>
    <row r="296" ht="15.75" customHeight="1" s="24">
      <c r="A296" s="33" t="inlineStr">
        <is>
          <t>F19</t>
        </is>
      </c>
      <c r="B296" s="33" t="inlineStr">
        <is>
          <t>public/data/economia.json</t>
        </is>
      </c>
      <c r="C296" s="33" t="inlineStr">
        <is>
          <t>serie_distritos[].codigo</t>
        </is>
      </c>
      <c r="D296" s="33" t="inlineStr">
        <is>
          <t>dc_class / 1ª letra de CACODE</t>
        </is>
      </c>
      <c r="E296" s="33" t="inlineStr">
        <is>
          <t>Código de letra del distrito (A–T) usado por el censo y la EAC.</t>
        </is>
      </c>
      <c r="F296" s="33" t="inlineStr">
        <is>
          <t>Texto</t>
        </is>
      </c>
      <c r="G296" s="33" t="inlineStr">
        <is>
          <t>—</t>
        </is>
      </c>
      <c r="H296" s="33" t="inlineStr">
        <is>
          <t>A</t>
        </is>
      </c>
      <c r="I296" s="33" t="inlineStr">
        <is>
          <t>No</t>
        </is>
      </c>
      <c r="J296" s="33" t="inlineStr">
        <is>
          <t>18 valores distintos</t>
        </is>
      </c>
      <c r="K296" s="33" t="inlineStr">
        <is>
          <t>Pública</t>
        </is>
      </c>
      <c r="L296" s="33" t="inlineStr">
        <is>
          <t>Derivado de la primera letra del código DCCA; se usa como llave de unión entre todas las tablas.</t>
        </is>
      </c>
      <c r="M296" s="33" t="inlineStr">
        <is>
          <t>¿A qué distrito pertenece este registro?</t>
        </is>
      </c>
    </row>
    <row r="297" ht="15.75" customHeight="1" s="24">
      <c r="A297" s="33" t="inlineStr">
        <is>
          <t>F21</t>
        </is>
      </c>
      <c r="B297" s="33" t="inlineStr">
        <is>
          <t>public/data/economia.json</t>
        </is>
      </c>
      <c r="C297" s="33" t="inlineStr">
        <is>
          <t>serie_distritos[].ingreso_mediano_hogar_hkd</t>
        </is>
      </c>
      <c r="D297" s="33" t="inlineStr">
        <is>
          <t>ma_hh</t>
        </is>
      </c>
      <c r="E297" s="33" t="inlineStr">
        <is>
          <t>Ingreso mensual mediano de los hogares domésticos del distrito en el año.</t>
        </is>
      </c>
      <c r="F297" s="33" t="inlineStr">
        <is>
          <t>Entero</t>
        </is>
      </c>
      <c r="G297" s="33" t="inlineStr">
        <is>
          <t>HK$ por mes</t>
        </is>
      </c>
      <c r="H297" s="33" t="inlineStr">
        <is>
          <t>39500</t>
        </is>
      </c>
      <c r="I297" s="33" t="inlineStr">
        <is>
          <t>No</t>
        </is>
      </c>
      <c r="J297" s="33" t="inlineStr">
        <is>
          <t>20.600 a 45.000</t>
        </is>
      </c>
      <c r="K297" s="33" t="inlineStr">
        <is>
          <t>Pública</t>
        </is>
      </c>
      <c r="L297" s="33" t="inlineStr">
        <is>
          <t>Renombrado; convertido a entero.</t>
        </is>
      </c>
      <c r="M297" s="33" t="inlineStr">
        <is>
          <t>¿Cómo evolucionó el ingreso de cada distrito 2016–2025? (Wiki 1.7)</t>
        </is>
      </c>
    </row>
    <row r="298" ht="15.75" customHeight="1" s="24">
      <c r="A298" s="33" t="inlineStr">
        <is>
          <t>F21</t>
        </is>
      </c>
      <c r="B298" s="33" t="inlineStr">
        <is>
          <t>public/data/economia.json</t>
        </is>
      </c>
      <c r="C298" s="33" t="inlineStr">
        <is>
          <t>serie_distritos[].tasa_participacion_laboral_pct</t>
        </is>
      </c>
      <c r="D298" s="33" t="inlineStr">
        <is>
          <t>t_lfpr</t>
        </is>
      </c>
      <c r="E298" s="33" t="inlineStr">
        <is>
          <t>Tasa de participación laboral del distrito en el año.</t>
        </is>
      </c>
      <c r="F298" s="33" t="inlineStr">
        <is>
          <t>Decimal</t>
        </is>
      </c>
      <c r="G298" s="33" t="inlineStr">
        <is>
          <t>%</t>
        </is>
      </c>
      <c r="H298" s="33" t="inlineStr">
        <is>
          <t>64.3</t>
        </is>
      </c>
      <c r="I298" s="33" t="inlineStr">
        <is>
          <t>No</t>
        </is>
      </c>
      <c r="J298" s="33" t="inlineStr">
        <is>
          <t>52,7 a 65,4</t>
        </is>
      </c>
      <c r="K298" s="33" t="inlineStr">
        <is>
          <t>Pública</t>
        </is>
      </c>
      <c r="L298" s="33" t="inlineStr">
        <is>
          <t>Renombrado.</t>
        </is>
      </c>
      <c r="M298" s="33" t="inlineStr">
        <is>
          <t>¿Cómo evolucionó la participación laboral 2016–2025?</t>
        </is>
      </c>
    </row>
    <row r="299" ht="15.75" customHeight="1" s="24">
      <c r="A299" s="33" t="inlineStr">
        <is>
          <t>F21</t>
        </is>
      </c>
      <c r="B299" s="33" t="inlineStr">
        <is>
          <t>public/data/economia.json</t>
        </is>
      </c>
      <c r="C299" s="33" t="inlineStr">
        <is>
          <t>macro[].anio</t>
        </is>
      </c>
      <c r="D299" s="33" t="inlineStr">
        <is>
          <t>year</t>
        </is>
      </c>
      <c r="E299" s="33" t="inlineStr">
        <is>
          <t>Año de referencia de la observación.</t>
        </is>
      </c>
      <c r="F299" s="33" t="inlineStr">
        <is>
          <t>Entero</t>
        </is>
      </c>
      <c r="G299" s="33" t="inlineStr">
        <is>
          <t>año</t>
        </is>
      </c>
      <c r="H299" s="33" t="inlineStr">
        <is>
          <t>2000</t>
        </is>
      </c>
      <c r="I299" s="33" t="inlineStr">
        <is>
          <t>No</t>
        </is>
      </c>
      <c r="J299" s="33" t="inlineStr">
        <is>
          <t>2.000 a 2.025</t>
        </is>
      </c>
      <c r="K299" s="33" t="inlineStr">
        <is>
          <t>Pública</t>
        </is>
      </c>
      <c r="L299" s="33" t="inlineStr">
        <is>
          <t>Convertido a entero.</t>
        </is>
      </c>
      <c r="M299" s="33" t="inlineStr">
        <is>
          <t>¿Cómo evoluciona el indicador en el tiempo?</t>
        </is>
      </c>
    </row>
    <row r="300" ht="15.75" customHeight="1" s="24">
      <c r="A300" s="33" t="inlineStr">
        <is>
          <t>F28, F29, F30</t>
        </is>
      </c>
      <c r="B300" s="33" t="inlineStr">
        <is>
          <t>public/data/economia.json</t>
        </is>
      </c>
      <c r="C300" s="33" t="inlineStr">
        <is>
          <t>macro[].pib_per_capita_usd_corrientes</t>
        </is>
      </c>
      <c r="D300" s="33" t="inlineStr">
        <is>
          <t>PCAGDPHKA646NWDB (NY.GDP.PCAP.CD)</t>
        </is>
      </c>
      <c r="E300" s="33" t="inlineStr">
        <is>
          <t>PIB por habitante a precios corrientes.</t>
        </is>
      </c>
      <c r="F300" s="33" t="inlineStr">
        <is>
          <t>Decimal</t>
        </is>
      </c>
      <c r="G300" s="33" t="inlineStr">
        <is>
          <t>US$ corrientes</t>
        </is>
      </c>
      <c r="H300" s="33" t="inlineStr">
        <is>
          <t>25756.772872</t>
        </is>
      </c>
      <c r="I300" s="33" t="inlineStr">
        <is>
          <t>No</t>
        </is>
      </c>
      <c r="J300" s="33" t="inlineStr">
        <is>
          <t>2,398e+04 a 5,698e+04</t>
        </is>
      </c>
      <c r="K300" s="33" t="inlineStr">
        <is>
          <t>Pública</t>
        </is>
      </c>
      <c r="L300" s="33" t="inlineStr">
        <is>
          <t>Fecha anual convertida a año; filtrado 2000–2025.</t>
        </is>
      </c>
      <c r="M300" s="33" t="inlineStr">
        <is>
          <t>¿Qué tan rica es la economía de Hong Kong? (Wiki 3.1)</t>
        </is>
      </c>
    </row>
    <row r="301" ht="15.75" customHeight="1" s="24">
      <c r="A301" s="33" t="inlineStr">
        <is>
          <t>F28, F29, F30</t>
        </is>
      </c>
      <c r="B301" s="33" t="inlineStr">
        <is>
          <t>public/data/economia.json</t>
        </is>
      </c>
      <c r="C301" s="33" t="inlineStr">
        <is>
          <t>macro[].pib_per_capita_usd_constantes_2015</t>
        </is>
      </c>
      <c r="D301" s="33" t="inlineStr">
        <is>
          <t>NYGDPPCAPKDHKG (NY.GDP.PCAP.KD)</t>
        </is>
      </c>
      <c r="E301" s="33" t="inlineStr">
        <is>
          <t>PIB por habitante a precios constantes (base 2015).</t>
        </is>
      </c>
      <c r="F301" s="33" t="inlineStr">
        <is>
          <t>Decimal</t>
        </is>
      </c>
      <c r="G301" s="33" t="inlineStr">
        <is>
          <t>US$ constantes de 2015</t>
        </is>
      </c>
      <c r="H301" s="33" t="inlineStr">
        <is>
          <t>26933.213075</t>
        </is>
      </c>
      <c r="I301" s="33" t="inlineStr">
        <is>
          <t>No</t>
        </is>
      </c>
      <c r="J301" s="33" t="inlineStr">
        <is>
          <t>2,689e+04 a 4,645e+04</t>
        </is>
      </c>
      <c r="K301" s="33" t="inlineStr">
        <is>
          <t>Pública</t>
        </is>
      </c>
      <c r="L301" s="33" t="inlineStr">
        <is>
          <t>Fecha anual convertida a año; filtrado 2000–2025.</t>
        </is>
      </c>
      <c r="M301" s="33" t="inlineStr">
        <is>
          <t>¿Cuánto creció la economía en términos reales? (Wiki 3.1)</t>
        </is>
      </c>
    </row>
    <row r="302" ht="15.75" customHeight="1" s="24">
      <c r="A302" s="33" t="inlineStr">
        <is>
          <t>F28, F29, F30</t>
        </is>
      </c>
      <c r="B302" s="33" t="inlineStr">
        <is>
          <t>public/data/economia.json</t>
        </is>
      </c>
      <c r="C302" s="33" t="inlineStr">
        <is>
          <t>macro[].inflacion_ipc_pct</t>
        </is>
      </c>
      <c r="D302" s="33" t="inlineStr">
        <is>
          <t>FPCPITOTLZGHKG (FP.CPI.TOTL.ZG)</t>
        </is>
      </c>
      <c r="E302" s="33" t="inlineStr">
        <is>
          <t>Variación anual del índice de precios al consumidor.</t>
        </is>
      </c>
      <c r="F302" s="33" t="inlineStr">
        <is>
          <t>Decimal</t>
        </is>
      </c>
      <c r="G302" s="33" t="inlineStr">
        <is>
          <t>%</t>
        </is>
      </c>
      <c r="H302" s="33" t="inlineStr">
        <is>
          <t>-3.685504</t>
        </is>
      </c>
      <c r="I302" s="33" t="inlineStr">
        <is>
          <t>No</t>
        </is>
      </c>
      <c r="J302" s="33" t="inlineStr">
        <is>
          <t>-3,686 a 5,305</t>
        </is>
      </c>
      <c r="K302" s="33" t="inlineStr">
        <is>
          <t>Pública</t>
        </is>
      </c>
      <c r="L302" s="33" t="inlineStr">
        <is>
          <t>Fecha anual convertida a año.</t>
        </is>
      </c>
      <c r="M302" s="33" t="inlineStr">
        <is>
          <t>¿Cómo ha evolucionado el costo de vida? (Wiki 2.1, 2.2)</t>
        </is>
      </c>
    </row>
    <row r="303" ht="15.75" customHeight="1" s="24">
      <c r="A303" s="33" t="inlineStr">
        <is>
          <t>F28, F29, F30</t>
        </is>
      </c>
      <c r="B303" s="33" t="inlineStr">
        <is>
          <t>public/data/economia.json</t>
        </is>
      </c>
      <c r="C303" s="33" t="inlineStr">
        <is>
          <t>macro[].crecimiento_real_pib_pc_pct</t>
        </is>
      </c>
      <c r="D303" s="33" t="inlineStr">
        <is>
          <t>(calculado)</t>
        </is>
      </c>
      <c r="E303" s="33" t="inlineStr">
        <is>
          <t>Crecimiento anual del PIB per cápita real.</t>
        </is>
      </c>
      <c r="F303" s="33" t="inlineStr">
        <is>
          <t>Decimal</t>
        </is>
      </c>
      <c r="G303" s="33" t="inlineStr">
        <is>
          <t>%</t>
        </is>
      </c>
      <c r="H303" s="33" t="inlineStr">
        <is>
          <t>-0.18</t>
        </is>
      </c>
      <c r="I303" s="33" t="inlineStr">
        <is>
          <t>Sí</t>
        </is>
      </c>
      <c r="J303" s="33" t="inlineStr">
        <is>
          <t>-6,21 a 7,86</t>
        </is>
      </c>
      <c r="K303" s="33" t="inlineStr">
        <is>
          <t>Pública</t>
        </is>
      </c>
      <c r="L303" s="33" t="inlineStr">
        <is>
          <t>Variación porcentual año contra año del PIB per cápita constante.</t>
        </is>
      </c>
      <c r="M303" s="33" t="inlineStr">
        <is>
          <t>¿En qué años creció o se contrajo la economía?</t>
        </is>
      </c>
    </row>
    <row r="304" ht="15.75" customHeight="1" s="24">
      <c r="A304" s="33" t="inlineStr">
        <is>
          <t>F10</t>
        </is>
      </c>
      <c r="B304" s="33" t="inlineStr">
        <is>
          <t>public/data/economia.json</t>
        </is>
      </c>
      <c r="C304" s="33" t="inlineStr">
        <is>
          <t>indicadores_recientes[].indicador</t>
        </is>
      </c>
      <c r="D304" s="33" t="inlineStr">
        <is>
          <t>(rotulado al capturar)</t>
        </is>
      </c>
      <c r="E304" s="33" t="inlineStr">
        <is>
          <t>Nombre del indicador puntual reciente.</t>
        </is>
      </c>
      <c r="F304" s="33" t="inlineStr">
        <is>
          <t>Texto</t>
        </is>
      </c>
      <c r="G304" s="33" t="inlineStr">
        <is>
          <t>—</t>
        </is>
      </c>
      <c r="H304" s="33" t="inlineStr">
        <is>
          <t>delitos_totales</t>
        </is>
      </c>
      <c r="I304" s="33" t="inlineStr">
        <is>
          <t>No</t>
        </is>
      </c>
      <c r="J304" s="33" t="inlineStr">
        <is>
          <t>delitos_totales; delitos_violentos; tasa_esclarecimiento_delitos; tasa_esclarecimiento_delitos_violentos</t>
        </is>
      </c>
      <c r="K304" s="33" t="inlineStr">
        <is>
          <t>Pública</t>
        </is>
      </c>
      <c r="L304" s="33" t="inlineStr">
        <is>
          <t>Nombre normalizado en español y snake_case.</t>
        </is>
      </c>
      <c r="M304" s="33" t="inlineStr">
        <is>
          <t>¿Cuál es el último dato de desempleo y delitos? (Wiki 4.1, 4.2)</t>
        </is>
      </c>
    </row>
    <row r="305" ht="15.75" customHeight="1" s="24">
      <c r="A305" s="33" t="inlineStr">
        <is>
          <t>F10</t>
        </is>
      </c>
      <c r="B305" s="33" t="inlineStr">
        <is>
          <t>public/data/economia.json</t>
        </is>
      </c>
      <c r="C305" s="33" t="inlineStr">
        <is>
          <t>indicadores_recientes[].periodo</t>
        </is>
      </c>
      <c r="D305" s="33" t="inlineStr">
        <is>
          <t>Year/Month o periodo publicado</t>
        </is>
      </c>
      <c r="E305" s="33" t="inlineStr">
        <is>
          <t>Periodo al que corresponde el valor (año, mes o ventana móvil).</t>
        </is>
      </c>
      <c r="F305" s="33" t="inlineStr">
        <is>
          <t>Texto</t>
        </is>
      </c>
      <c r="G305" s="33" t="inlineStr">
        <is>
          <t>—</t>
        </is>
      </c>
      <c r="H305" s="33" t="inlineStr">
        <is>
          <t>2025</t>
        </is>
      </c>
      <c r="I305" s="33" t="inlineStr">
        <is>
          <t>No</t>
        </is>
      </c>
      <c r="J305" s="33" t="inlineStr">
        <is>
          <t>2024; 2025</t>
        </is>
      </c>
      <c r="K305" s="33" t="inlineStr">
        <is>
          <t>Pública</t>
        </is>
      </c>
      <c r="L305" s="33" t="inlineStr">
        <is>
          <t>En delitos: año y mes en inglés convertidos a AAAA-MM.</t>
        </is>
      </c>
      <c r="M305" s="33" t="inlineStr">
        <is>
          <t>¿A qué fecha corresponde el dato?</t>
        </is>
      </c>
    </row>
    <row r="306" ht="15.75" customHeight="1" s="24">
      <c r="A306" s="33" t="inlineStr">
        <is>
          <t>F10</t>
        </is>
      </c>
      <c r="B306" s="33" t="inlineStr">
        <is>
          <t>public/data/economia.json</t>
        </is>
      </c>
      <c r="C306" s="33" t="inlineStr">
        <is>
          <t>indicadores_recientes[].valor</t>
        </is>
      </c>
      <c r="D306" s="33" t="inlineStr">
        <is>
          <t>(valor publicado)</t>
        </is>
      </c>
      <c r="E306" s="33" t="inlineStr">
        <is>
          <t>Valor numérico del indicador.</t>
        </is>
      </c>
      <c r="F306" s="33" t="inlineStr">
        <is>
          <t>Decimal</t>
        </is>
      </c>
      <c r="G306" s="33" t="inlineStr">
        <is>
          <t>según columna unidad</t>
        </is>
      </c>
      <c r="H306" s="33" t="inlineStr">
        <is>
          <t>89137.0</t>
        </is>
      </c>
      <c r="I306" s="33" t="inlineStr">
        <is>
          <t>No</t>
        </is>
      </c>
      <c r="J306" s="33" t="inlineStr">
        <is>
          <t>30,3 a 9,475e+04</t>
        </is>
      </c>
      <c r="K306" s="33" t="inlineStr">
        <is>
          <t>Pública</t>
        </is>
      </c>
      <c r="L306" s="33" t="inlineStr">
        <is>
          <t>Copiado tal cual.</t>
        </is>
      </c>
      <c r="M306" s="33" t="inlineStr">
        <is>
          <t>¿Cuál es el valor del indicador?</t>
        </is>
      </c>
    </row>
    <row r="307" ht="15.75" customHeight="1" s="24">
      <c r="A307" s="33" t="inlineStr">
        <is>
          <t>F10</t>
        </is>
      </c>
      <c r="B307" s="33" t="inlineStr">
        <is>
          <t>public/data/economia.json</t>
        </is>
      </c>
      <c r="C307" s="33" t="inlineStr">
        <is>
          <t>indicadores_recientes[].unidad</t>
        </is>
      </c>
      <c r="D307" s="33" t="inlineStr">
        <is>
          <t>(rotulado)</t>
        </is>
      </c>
      <c r="E307" s="33" t="inlineStr">
        <is>
          <t>Unidad del valor del indicador.</t>
        </is>
      </c>
      <c r="F307" s="33" t="inlineStr">
        <is>
          <t>Texto</t>
        </is>
      </c>
      <c r="G307" s="33" t="inlineStr">
        <is>
          <t>—</t>
        </is>
      </c>
      <c r="H307" s="33" t="inlineStr">
        <is>
          <t>casos</t>
        </is>
      </c>
      <c r="I307" s="33" t="inlineStr">
        <is>
          <t>No</t>
        </is>
      </c>
      <c r="J307" s="33" t="inlineStr">
        <is>
          <t>%; casos</t>
        </is>
      </c>
      <c r="K307" s="33" t="inlineStr">
        <is>
          <t>Pública</t>
        </is>
      </c>
      <c r="L307" s="33" t="inlineStr">
        <is>
          <t>Escrito al capturar.</t>
        </is>
      </c>
      <c r="M307" s="33" t="inlineStr">
        <is>
          <t>¿En qué unidad está el valor?</t>
        </is>
      </c>
    </row>
    <row r="308" ht="15.75" customHeight="1" s="24">
      <c r="A308" s="33" t="inlineStr">
        <is>
          <t>F10</t>
        </is>
      </c>
      <c r="B308" s="33" t="inlineStr">
        <is>
          <t>public/data/economia.json</t>
        </is>
      </c>
      <c r="C308" s="33" t="inlineStr">
        <is>
          <t>indicadores_recientes[].fuente</t>
        </is>
      </c>
      <c r="D308" s="33" t="inlineStr">
        <is>
          <t>(rotulado / dominio de la URL)</t>
        </is>
      </c>
      <c r="E308" s="33" t="inlineStr">
        <is>
          <t>Organismo o medio de origen del dato.</t>
        </is>
      </c>
      <c r="F308" s="33" t="inlineStr">
        <is>
          <t>Texto</t>
        </is>
      </c>
      <c r="G308" s="33" t="inlineStr">
        <is>
          <t>—</t>
        </is>
      </c>
      <c r="H308" s="33" t="inlineStr">
        <is>
          <t>Hong Kong Police Force - Police in Figures 2025</t>
        </is>
      </c>
      <c r="I308" s="33" t="inlineStr">
        <is>
          <t>No</t>
        </is>
      </c>
      <c r="J308" s="33" t="inlineStr">
        <is>
          <t>Hong Kong Police Force - Police in Figures 2025</t>
        </is>
      </c>
      <c r="K308" s="33" t="inlineStr">
        <is>
          <t>Pública</t>
        </is>
      </c>
      <c r="L308" s="33" t="inlineStr">
        <is>
          <t>En noticias se extrae el dominio de la URL con expresión regular.</t>
        </is>
      </c>
      <c r="M308" s="33" t="inlineStr">
        <is>
          <t>¿De dónde viene este dato y qué tan confiable es?</t>
        </is>
      </c>
    </row>
    <row r="309" ht="15.75" customHeight="1" s="24">
      <c r="A309" s="33" t="inlineStr">
        <is>
          <t>F10</t>
        </is>
      </c>
      <c r="B309" s="33" t="inlineStr">
        <is>
          <t>public/data/economia.json</t>
        </is>
      </c>
      <c r="C309" s="33" t="inlineStr">
        <is>
          <t>indicadores_recientes[].url</t>
        </is>
      </c>
      <c r="D309" s="33" t="inlineStr">
        <is>
          <t>link / url</t>
        </is>
      </c>
      <c r="E309" s="33" t="inlineStr">
        <is>
          <t>Enlace a la fuente original.</t>
        </is>
      </c>
      <c r="F309" s="33" t="inlineStr">
        <is>
          <t>Texto</t>
        </is>
      </c>
      <c r="G309" s="33" t="inlineStr">
        <is>
          <t>URL</t>
        </is>
      </c>
      <c r="H309" s="33" t="inlineStr">
        <is>
          <t>https://www.police.gov.hk/info/doc/police_in_figure/2025/2025_en.html</t>
        </is>
      </c>
      <c r="I309" s="33" t="inlineStr">
        <is>
          <t>No</t>
        </is>
      </c>
      <c r="J309" s="33" t="inlineStr">
        <is>
          <t>https://www.police.gov.hk/info/doc/police_in_figure/2025/2025_en.html</t>
        </is>
      </c>
      <c r="K309" s="33" t="inlineStr">
        <is>
          <t>Pública</t>
        </is>
      </c>
      <c r="L309" s="33" t="inlineStr">
        <is>
          <t>Copiado tal cual.</t>
        </is>
      </c>
      <c r="M309" s="33" t="inlineStr">
        <is>
          <t>¿Dónde verificar el dato?</t>
        </is>
      </c>
    </row>
    <row r="310" ht="15.75" customHeight="1" s="24">
      <c r="A310" s="33" t="inlineStr">
        <is>
          <t>F10</t>
        </is>
      </c>
      <c r="B310" s="33" t="inlineStr">
        <is>
          <t>public/data/economia.json</t>
        </is>
      </c>
      <c r="C310" s="33" t="inlineStr">
        <is>
          <t>indicadores_recientes[].fuente_id</t>
        </is>
      </c>
      <c r="D310" s="33" t="inlineStr">
        <is>
          <t>(pipeline)</t>
        </is>
      </c>
      <c r="E310" s="33" t="inlineStr">
        <is>
          <t>ID F0x de la fuente de la fila en el catálogo único.</t>
        </is>
      </c>
      <c r="F310" s="33" t="inlineStr">
        <is>
          <t>Texto</t>
        </is>
      </c>
      <c r="G310" s="33" t="inlineStr">
        <is>
          <t>—</t>
        </is>
      </c>
      <c r="H310" s="33" t="inlineStr">
        <is>
          <t>F10</t>
        </is>
      </c>
      <c r="I310" s="33" t="inlineStr">
        <is>
          <t>No</t>
        </is>
      </c>
      <c r="J310" s="33" t="inlineStr">
        <is>
          <t>F10</t>
        </is>
      </c>
      <c r="K310" s="33" t="inlineStr">
        <is>
          <t>Pública</t>
        </is>
      </c>
      <c r="L310" s="33" t="inlineStr">
        <is>
          <t>Asignado por catalogo_unico.py.</t>
        </is>
      </c>
      <c r="M310" s="33" t="inlineStr">
        <is>
          <t>¿Qué fila de Fuentes respalda esto?</t>
        </is>
      </c>
    </row>
    <row r="311" ht="15.75" customHeight="1" s="24">
      <c r="A311" s="33" t="inlineStr">
        <is>
          <t>F23, F24, F19</t>
        </is>
      </c>
      <c r="B311" s="33" t="inlineStr">
        <is>
          <t>public/data/infraestructura.json</t>
        </is>
      </c>
      <c r="C311" s="33" t="inlineStr">
        <is>
          <t>meta.generado_utc</t>
        </is>
      </c>
      <c r="D311" s="33" t="inlineStr">
        <is>
          <t>(pipeline)</t>
        </is>
      </c>
      <c r="E311" s="33" t="inlineStr">
        <is>
          <t>Momento en que el pipeline generó el archivo.</t>
        </is>
      </c>
      <c r="F311" s="33" t="inlineStr">
        <is>
          <t>Fecha</t>
        </is>
      </c>
      <c r="G311" s="33" t="inlineStr">
        <is>
          <t>fecha-hora UTC</t>
        </is>
      </c>
      <c r="H311" s="33" t="inlineStr">
        <is>
          <t>2026-10-26T12:25:12Z</t>
        </is>
      </c>
      <c r="I311" s="33" t="inlineStr">
        <is>
          <t>No</t>
        </is>
      </c>
      <c r="J311" s="33" t="inlineStr">
        <is>
          <t>2026-10-26T12:25:12Z</t>
        </is>
      </c>
      <c r="K311" s="33" t="inlineStr">
        <is>
          <t>Pública</t>
        </is>
      </c>
      <c r="L311" s="33" t="inlineStr">
        <is>
          <t>datetime.utcnow() al escribir el archivo.</t>
        </is>
      </c>
      <c r="M311" s="33" t="inlineStr">
        <is>
          <t>¿De cuándo son los datos que veo?</t>
        </is>
      </c>
    </row>
    <row r="312" ht="15.75" customHeight="1" s="24">
      <c r="A312" s="33" t="inlineStr">
        <is>
          <t>F23, F24, F19</t>
        </is>
      </c>
      <c r="B312" s="33" t="inlineStr">
        <is>
          <t>public/data/infraestructura.json</t>
        </is>
      </c>
      <c r="C312" s="33" t="inlineStr">
        <is>
          <t>meta.ciudad</t>
        </is>
      </c>
      <c r="D312" s="33" t="inlineStr">
        <is>
          <t>(pipeline)</t>
        </is>
      </c>
      <c r="E312" s="33" t="inlineStr">
        <is>
          <t>Ciudad a la que corresponde el archivo.</t>
        </is>
      </c>
      <c r="F312" s="33" t="inlineStr">
        <is>
          <t>Texto</t>
        </is>
      </c>
      <c r="G312" s="33" t="inlineStr">
        <is>
          <t>—</t>
        </is>
      </c>
      <c r="H312" s="33" t="inlineStr">
        <is>
          <t>Hong Kong</t>
        </is>
      </c>
      <c r="I312" s="33" t="inlineStr">
        <is>
          <t>No</t>
        </is>
      </c>
      <c r="J312" s="33" t="inlineStr">
        <is>
          <t>Hong Kong</t>
        </is>
      </c>
      <c r="K312" s="33" t="inlineStr">
        <is>
          <t>Pública</t>
        </is>
      </c>
      <c r="L312" s="33" t="inlineStr">
        <is>
          <t>Constante.</t>
        </is>
      </c>
      <c r="M312" s="33" t="inlineStr">
        <is>
          <t>¿De qué ciudad es el tablero?</t>
        </is>
      </c>
    </row>
    <row r="313" ht="15.75" customHeight="1" s="24">
      <c r="A313" s="33" t="inlineStr">
        <is>
          <t>F23, F24, F19</t>
        </is>
      </c>
      <c r="B313" s="33" t="inlineStr">
        <is>
          <t>public/data/infraestructura.json</t>
        </is>
      </c>
      <c r="C313" s="33" t="inlineStr">
        <is>
          <t>meta.unidad_territorial</t>
        </is>
      </c>
      <c r="D313" s="33" t="inlineStr">
        <is>
          <t>(pipeline)</t>
        </is>
      </c>
      <c r="E313" s="33" t="inlineStr">
        <is>
          <t>Unidad territorial de las filas del archivo.</t>
        </is>
      </c>
      <c r="F313" s="33" t="inlineStr">
        <is>
          <t>Texto</t>
        </is>
      </c>
      <c r="G313" s="33" t="inlineStr">
        <is>
          <t>—</t>
        </is>
      </c>
      <c r="H313" s="33" t="inlineStr">
        <is>
          <t>18 distritos (District Council districts)</t>
        </is>
      </c>
      <c r="I313" s="33" t="inlineStr">
        <is>
          <t>No</t>
        </is>
      </c>
      <c r="J313" s="33" t="inlineStr">
        <is>
          <t>18 distritos (District Council districts)</t>
        </is>
      </c>
      <c r="K313" s="33" t="inlineStr">
        <is>
          <t>Pública</t>
        </is>
      </c>
      <c r="L313" s="33" t="inlineStr">
        <is>
          <t>Constante.</t>
        </is>
      </c>
      <c r="M313" s="33" t="inlineStr">
        <is>
          <t>¿A qué escala se lee cada cifra?</t>
        </is>
      </c>
    </row>
    <row r="314" ht="15.75" customHeight="1" s="24">
      <c r="A314" s="33" t="inlineStr">
        <is>
          <t>F23, F24, F19</t>
        </is>
      </c>
      <c r="B314" s="33" t="inlineStr">
        <is>
          <t>public/data/infraestructura.json</t>
        </is>
      </c>
      <c r="C314" s="33" t="inlineStr">
        <is>
          <t>meta.catalogo</t>
        </is>
      </c>
      <c r="D314" s="33" t="inlineStr">
        <is>
          <t>(pipeline)</t>
        </is>
      </c>
      <c r="E314" s="33" t="inlineStr">
        <is>
          <t>Ruta al catálogo de fuentes que documenta el archivo.</t>
        </is>
      </c>
      <c r="F314" s="33" t="inlineStr">
        <is>
          <t>Texto</t>
        </is>
      </c>
      <c r="G314" s="33" t="inlineStr">
        <is>
          <t>—</t>
        </is>
      </c>
      <c r="H314" s="33" t="inlineStr">
        <is>
          <t>catalogo/catalogo.json</t>
        </is>
      </c>
      <c r="I314" s="33" t="inlineStr">
        <is>
          <t>No</t>
        </is>
      </c>
      <c r="J314" s="33" t="inlineStr">
        <is>
          <t>catalogo/catalogo.json</t>
        </is>
      </c>
      <c r="K314" s="33" t="inlineStr">
        <is>
          <t>Pública</t>
        </is>
      </c>
      <c r="L314" s="33" t="inlineStr">
        <is>
          <t>Constante.</t>
        </is>
      </c>
      <c r="M314" s="33" t="inlineStr">
        <is>
          <t>¿Dónde está la procedencia?</t>
        </is>
      </c>
    </row>
    <row r="315" ht="15.75" customHeight="1" s="24">
      <c r="A315" s="33" t="inlineStr">
        <is>
          <t>F31</t>
        </is>
      </c>
      <c r="B315" s="33" t="inlineStr">
        <is>
          <t>public/data/infraestructura.json</t>
        </is>
      </c>
      <c r="C315" s="33" t="inlineStr">
        <is>
          <t>fuente</t>
        </is>
      </c>
      <c r="D315" s="33" t="inlineStr">
        <is>
          <t>(rotulado / dominio de la URL)</t>
        </is>
      </c>
      <c r="E315" s="33" t="inlineStr">
        <is>
          <t>Organismo o medio de origen del dato.</t>
        </is>
      </c>
      <c r="F315" s="33" t="inlineStr">
        <is>
          <t>Texto</t>
        </is>
      </c>
      <c r="G315" s="33" t="inlineStr">
        <is>
          <t>—</t>
        </is>
      </c>
      <c r="H315" s="33" t="inlineStr">
        <is>
          <t>hkbus/hk-bus-crawling (datos abiertos de operadores vía data.gov.hk) · Hospital …</t>
        </is>
      </c>
      <c r="I315" s="33" t="inlineStr">
        <is>
          <t>No</t>
        </is>
      </c>
      <c r="J315" s="33" t="inlineStr">
        <is>
          <t>hkbus/hk-bus-crawling (datos abiertos de operadores vía data.gov.hk) · Hospital Authority</t>
        </is>
      </c>
      <c r="K315" s="33" t="inlineStr">
        <is>
          <t>Pública</t>
        </is>
      </c>
      <c r="L315" s="33" t="inlineStr">
        <is>
          <t>En noticias se extrae el dominio de la URL con expresión regular.</t>
        </is>
      </c>
      <c r="M315" s="33" t="inlineStr">
        <is>
          <t>¿De dónde viene este dato y qué tan confiable es?</t>
        </is>
      </c>
    </row>
    <row r="316" ht="15.75" customHeight="1" s="24">
      <c r="A316" s="33" t="inlineStr">
        <is>
          <t>F19</t>
        </is>
      </c>
      <c r="B316" s="33" t="inlineStr">
        <is>
          <t>public/data/infraestructura.json</t>
        </is>
      </c>
      <c r="C316" s="33" t="inlineStr">
        <is>
          <t>distritos[].codigo</t>
        </is>
      </c>
      <c r="D316" s="33" t="inlineStr">
        <is>
          <t>dc_class / 1ª letra de CACODE</t>
        </is>
      </c>
      <c r="E316" s="33" t="inlineStr">
        <is>
          <t>Código de letra del distrito (A–T) usado por el censo y la EAC.</t>
        </is>
      </c>
      <c r="F316" s="33" t="inlineStr">
        <is>
          <t>Texto</t>
        </is>
      </c>
      <c r="G316" s="33" t="inlineStr">
        <is>
          <t>—</t>
        </is>
      </c>
      <c r="H316" s="33" t="inlineStr">
        <is>
          <t>A</t>
        </is>
      </c>
      <c r="I316" s="33" t="inlineStr">
        <is>
          <t>No</t>
        </is>
      </c>
      <c r="J316" s="33" t="inlineStr">
        <is>
          <t>18 valores distintos</t>
        </is>
      </c>
      <c r="K316" s="33" t="inlineStr">
        <is>
          <t>Pública</t>
        </is>
      </c>
      <c r="L316" s="33" t="inlineStr">
        <is>
          <t>Derivado de la primera letra del código DCCA; se usa como llave de unión entre todas las tablas.</t>
        </is>
      </c>
      <c r="M316" s="33" t="inlineStr">
        <is>
          <t>¿A qué distrito pertenece este registro?</t>
        </is>
      </c>
    </row>
    <row r="317" ht="15.75" customHeight="1" s="24">
      <c r="A317" s="33" t="inlineStr">
        <is>
          <t>F19</t>
        </is>
      </c>
      <c r="B317" s="33" t="inlineStr">
        <is>
          <t>public/data/infraestructura.json</t>
        </is>
      </c>
      <c r="C317" s="33" t="inlineStr">
        <is>
          <t>distritos[].distrito_en</t>
        </is>
      </c>
      <c r="D317" s="33" t="inlineStr">
        <is>
          <t>dc_eng</t>
        </is>
      </c>
      <c r="E317" s="33" t="inlineStr">
        <is>
          <t>Nombre oficial del distrito en inglés.</t>
        </is>
      </c>
      <c r="F317" s="33" t="inlineStr">
        <is>
          <t>Texto</t>
        </is>
      </c>
      <c r="G317" s="33" t="inlineStr">
        <is>
          <t>—</t>
        </is>
      </c>
      <c r="H317" s="33" t="inlineStr">
        <is>
          <t>Central and Western</t>
        </is>
      </c>
      <c r="I317" s="33" t="inlineStr">
        <is>
          <t>No</t>
        </is>
      </c>
      <c r="J317" s="33" t="inlineStr">
        <is>
          <t>18 valores distintos</t>
        </is>
      </c>
      <c r="K317" s="33" t="inlineStr">
        <is>
          <t>Pública</t>
        </is>
      </c>
      <c r="L317" s="33" t="inlineStr">
        <is>
          <t>Estandarizado contra la tabla maestra de 18 distritos.</t>
        </is>
      </c>
      <c r="M317" s="33" t="inlineStr">
        <is>
          <t>¿Cómo se llama el distrito?</t>
        </is>
      </c>
    </row>
    <row r="318" ht="15.75" customHeight="1" s="24">
      <c r="A318" s="33" t="inlineStr">
        <is>
          <t>F22</t>
        </is>
      </c>
      <c r="B318" s="33" t="inlineStr">
        <is>
          <t>public/data/infraestructura.json</t>
        </is>
      </c>
      <c r="C318" s="33" t="inlineStr">
        <is>
          <t>distritos[].distrito_zh</t>
        </is>
      </c>
      <c r="D318" s="33" t="inlineStr">
        <is>
          <t>District (中文)</t>
        </is>
      </c>
      <c r="E318" s="33" t="inlineStr">
        <is>
          <t>Nombre del distrito en chino tradicional.</t>
        </is>
      </c>
      <c r="F318" s="33" t="inlineStr">
        <is>
          <t>Texto</t>
        </is>
      </c>
      <c r="G318" s="33" t="inlineStr">
        <is>
          <t>—</t>
        </is>
      </c>
      <c r="H318" s="33" t="inlineStr">
        <is>
          <t>中西區</t>
        </is>
      </c>
      <c r="I318" s="33" t="inlineStr">
        <is>
          <t>No</t>
        </is>
      </c>
      <c r="J318" s="33" t="inlineStr">
        <is>
          <t>18 valores distintos</t>
        </is>
      </c>
      <c r="K318" s="33" t="inlineStr">
        <is>
          <t>Pública</t>
        </is>
      </c>
      <c r="L318" s="33" t="inlineStr">
        <is>
          <t>Copiado de curated/geo/distritos.csv (unión por codigo). Origen: Tomado de la tabla de Wikipedia y unido por nombre inglés.</t>
        </is>
      </c>
      <c r="M318" s="33" t="inlineStr">
        <is>
          <t>¿Cómo se llama el distrito en chino?</t>
        </is>
      </c>
    </row>
    <row r="319" ht="15.75" customHeight="1" s="24">
      <c r="A319" s="33" t="inlineStr">
        <is>
          <t>F19</t>
        </is>
      </c>
      <c r="B319" s="33" t="inlineStr">
        <is>
          <t>public/data/infraestructura.json</t>
        </is>
      </c>
      <c r="C319" s="33" t="inlineStr">
        <is>
          <t>distritos[].distrito_es</t>
        </is>
      </c>
      <c r="D319" s="33" t="inlineStr">
        <is>
          <t>(no existe en la fuente)</t>
        </is>
      </c>
      <c r="E319" s="33" t="inlineStr">
        <is>
          <t>Nombre del distrito en español para la interfaz.</t>
        </is>
      </c>
      <c r="F319" s="33" t="inlineStr">
        <is>
          <t>Texto</t>
        </is>
      </c>
      <c r="G319" s="33" t="inlineStr">
        <is>
          <t>—</t>
        </is>
      </c>
      <c r="H319" s="33" t="inlineStr">
        <is>
          <t>Centro y Oeste</t>
        </is>
      </c>
      <c r="I319" s="33" t="inlineStr">
        <is>
          <t>No</t>
        </is>
      </c>
      <c r="J319" s="33" t="inlineStr">
        <is>
          <t>18 valores distintos</t>
        </is>
      </c>
      <c r="K319" s="33" t="inlineStr">
        <is>
          <t>Pública</t>
        </is>
      </c>
      <c r="L319" s="33" t="inlineStr">
        <is>
          <t>Traducción propia del nombre inglés.</t>
        </is>
      </c>
      <c r="M319" s="33" t="inlineStr">
        <is>
          <t>¿Cómo mostrar el distrito al usuario?</t>
        </is>
      </c>
    </row>
    <row r="320" ht="15.75" customHeight="1" s="24">
      <c r="A320" s="33" t="inlineStr">
        <is>
          <t>F19</t>
        </is>
      </c>
      <c r="B320" s="33" t="inlineStr">
        <is>
          <t>public/data/infraestructura.json</t>
        </is>
      </c>
      <c r="C320" s="33" t="inlineStr">
        <is>
          <t>distritos[].region</t>
        </is>
      </c>
      <c r="D320" s="33" t="inlineStr">
        <is>
          <t>(no existe en la fuente)</t>
        </is>
      </c>
      <c r="E320" s="33" t="inlineStr">
        <is>
          <t>Gran región a la que pertenece el distrito (Isla de HK, Kowloon o Nuevos Territorios).</t>
        </is>
      </c>
      <c r="F320" s="33" t="inlineStr">
        <is>
          <t>Texto</t>
        </is>
      </c>
      <c r="G320" s="33" t="inlineStr">
        <is>
          <t>—</t>
        </is>
      </c>
      <c r="H320" s="33" t="inlineStr">
        <is>
          <t>Isla de Hong Kong</t>
        </is>
      </c>
      <c r="I320" s="33" t="inlineStr">
        <is>
          <t>No</t>
        </is>
      </c>
      <c r="J320" s="33" t="inlineStr">
        <is>
          <t>Isla de Hong Kong; Kowloon; Nuevos Territorios</t>
        </is>
      </c>
      <c r="K320" s="33" t="inlineStr">
        <is>
          <t>Pública</t>
        </is>
      </c>
      <c r="L320" s="33" t="inlineStr">
        <is>
          <t>Asignada por tabla maestra según la división administrativa oficial; traducida al español.</t>
        </is>
      </c>
      <c r="M320" s="33" t="inlineStr">
        <is>
          <t>¿Cómo se reparte la población entre las tres regiones? (Wiki 1.2)</t>
        </is>
      </c>
    </row>
    <row r="321" ht="15.75" customHeight="1" s="24">
      <c r="A321" s="33" t="inlineStr">
        <is>
          <t>F23, F24, F19</t>
        </is>
      </c>
      <c r="B321" s="33" t="inlineStr">
        <is>
          <t>public/data/infraestructura.json</t>
        </is>
      </c>
      <c r="C321" s="33" t="inlineStr">
        <is>
          <t>distritos[].paradas_transporte</t>
        </is>
      </c>
      <c r="D321" s="33" t="inlineStr">
        <is>
          <t>(calculado)</t>
        </is>
      </c>
      <c r="E321" s="33" t="inlineStr">
        <is>
          <t>Número de paradas de transporte público con rutas activas.</t>
        </is>
      </c>
      <c r="F321" s="33" t="inlineStr">
        <is>
          <t>Entero</t>
        </is>
      </c>
      <c r="G321" s="33" t="inlineStr">
        <is>
          <t>paradas</t>
        </is>
      </c>
      <c r="H321" s="33" t="inlineStr">
        <is>
          <t>676</t>
        </is>
      </c>
      <c r="I321" s="33" t="inlineStr">
        <is>
          <t>No</t>
        </is>
      </c>
      <c r="J321" s="33" t="inlineStr">
        <is>
          <t>461 a 1.446</t>
        </is>
      </c>
      <c r="K321" s="33" t="inlineStr">
        <is>
          <t>Pública</t>
        </is>
      </c>
      <c r="L321" s="33" t="inlineStr">
        <is>
          <t>Conteo de paradas por código de distrito o DCCA.</t>
        </is>
      </c>
      <c r="M321" s="33" t="inlineStr">
        <is>
          <t>¿Qué zonas tienen más oferta de transporte?</t>
        </is>
      </c>
    </row>
    <row r="322" ht="15.75" customHeight="1" s="24">
      <c r="A322" s="33" t="inlineStr">
        <is>
          <t>F23</t>
        </is>
      </c>
      <c r="B322" s="33" t="inlineStr">
        <is>
          <t>public/data/infraestructura.json</t>
        </is>
      </c>
      <c r="C322" s="33" t="inlineStr">
        <is>
          <t>distritos[].paradas_bus</t>
        </is>
      </c>
      <c r="D322" s="33" t="inlineStr">
        <is>
          <t>(calculado)</t>
        </is>
      </c>
      <c r="E322" s="33" t="inlineStr">
        <is>
          <t>Paradas servidas por bus.</t>
        </is>
      </c>
      <c r="F322" s="33" t="inlineStr">
        <is>
          <t>Entero</t>
        </is>
      </c>
      <c r="G322" s="33" t="inlineStr">
        <is>
          <t>paradas</t>
        </is>
      </c>
      <c r="H322" s="33" t="inlineStr">
        <is>
          <t>664</t>
        </is>
      </c>
      <c r="I322" s="33" t="inlineStr">
        <is>
          <t>No</t>
        </is>
      </c>
      <c r="J322" s="33" t="inlineStr">
        <is>
          <t>448 a 1.416</t>
        </is>
      </c>
      <c r="K322" s="33" t="inlineStr">
        <is>
          <t>Pública</t>
        </is>
      </c>
      <c r="L322" s="33" t="inlineStr">
        <is>
          <t>Copiado de curated/infraestructura/distritos_infraestructura.csv (unión por codigo). Origen: Conteo de paradas cuyo campo modos contiene 'bus'.</t>
        </is>
      </c>
      <c r="M322" s="33" t="inlineStr">
        <is>
          <t>¿Dónde hay más cobertura de bus?</t>
        </is>
      </c>
    </row>
    <row r="323" ht="15.75" customHeight="1" s="24">
      <c r="A323" s="33" t="inlineStr">
        <is>
          <t>F23</t>
        </is>
      </c>
      <c r="B323" s="33" t="inlineStr">
        <is>
          <t>public/data/infraestructura.json</t>
        </is>
      </c>
      <c r="C323" s="33" t="inlineStr">
        <is>
          <t>distritos[].paradas_minibus</t>
        </is>
      </c>
      <c r="D323" s="33" t="inlineStr">
        <is>
          <t>(calculado)</t>
        </is>
      </c>
      <c r="E323" s="33" t="inlineStr">
        <is>
          <t>Paradas servidas por minibús verde (GMB).</t>
        </is>
      </c>
      <c r="F323" s="33" t="inlineStr">
        <is>
          <t>Entero</t>
        </is>
      </c>
      <c r="G323" s="33" t="inlineStr">
        <is>
          <t>paradas</t>
        </is>
      </c>
      <c r="H323" s="33" t="inlineStr">
        <is>
          <t>198</t>
        </is>
      </c>
      <c r="I323" s="33" t="inlineStr">
        <is>
          <t>No</t>
        </is>
      </c>
      <c r="J323" s="33" t="inlineStr">
        <is>
          <t>18 a 580</t>
        </is>
      </c>
      <c r="K323" s="33" t="inlineStr">
        <is>
          <t>Pública</t>
        </is>
      </c>
      <c r="L323" s="33" t="inlineStr">
        <is>
          <t>Copiado de curated/infraestructura/distritos_infraestructura.csv (unión por codigo). Origen: Conteo de paradas con modo 'minibus'.</t>
        </is>
      </c>
      <c r="M323" s="33" t="inlineStr">
        <is>
          <t>¿Dónde depende la gente del minibús?</t>
        </is>
      </c>
    </row>
    <row r="324" ht="15.75" customHeight="1" s="24">
      <c r="A324" s="33" t="inlineStr">
        <is>
          <t>F23</t>
        </is>
      </c>
      <c r="B324" s="33" t="inlineStr">
        <is>
          <t>public/data/infraestructura.json</t>
        </is>
      </c>
      <c r="C324" s="33" t="inlineStr">
        <is>
          <t>distritos[].paradas_metro_mtr</t>
        </is>
      </c>
      <c r="D324" s="33" t="inlineStr">
        <is>
          <t>(calculado)</t>
        </is>
      </c>
      <c r="E324" s="33" t="inlineStr">
        <is>
          <t>Estaciones del MTR (ferrocarril pesado).</t>
        </is>
      </c>
      <c r="F324" s="33" t="inlineStr">
        <is>
          <t>Entero</t>
        </is>
      </c>
      <c r="G324" s="33" t="inlineStr">
        <is>
          <t>estaciones</t>
        </is>
      </c>
      <c r="H324" s="33" t="inlineStr">
        <is>
          <t>7</t>
        </is>
      </c>
      <c r="I324" s="33" t="inlineStr">
        <is>
          <t>No</t>
        </is>
      </c>
      <c r="J324" s="33" t="inlineStr">
        <is>
          <t>2 a 13</t>
        </is>
      </c>
      <c r="K324" s="33" t="inlineStr">
        <is>
          <t>Pública</t>
        </is>
      </c>
      <c r="L324" s="33" t="inlineStr">
        <is>
          <t>Copiado de curated/infraestructura/distritos_infraestructura.csv (unión por codigo). Origen: Conteo de paradas con modo 'metro_mtr'.</t>
        </is>
      </c>
      <c r="M324" s="33" t="inlineStr">
        <is>
          <t>¿Qué distritos tienen más acceso al metro?</t>
        </is>
      </c>
    </row>
    <row r="325" ht="15.75" customHeight="1" s="24">
      <c r="A325" s="33" t="inlineStr">
        <is>
          <t>F23</t>
        </is>
      </c>
      <c r="B325" s="33" t="inlineStr">
        <is>
          <t>public/data/infraestructura.json</t>
        </is>
      </c>
      <c r="C325" s="33" t="inlineStr">
        <is>
          <t>distritos[].paradas_tren_ligero</t>
        </is>
      </c>
      <c r="D325" s="33" t="inlineStr">
        <is>
          <t>(calculado)</t>
        </is>
      </c>
      <c r="E325" s="33" t="inlineStr">
        <is>
          <t>Paradas del tren ligero (Light Rail).</t>
        </is>
      </c>
      <c r="F325" s="33" t="inlineStr">
        <is>
          <t>Entero</t>
        </is>
      </c>
      <c r="G325" s="33" t="inlineStr">
        <is>
          <t>paradas</t>
        </is>
      </c>
      <c r="H325" s="33" t="inlineStr">
        <is>
          <t>0</t>
        </is>
      </c>
      <c r="I325" s="33" t="inlineStr">
        <is>
          <t>No</t>
        </is>
      </c>
      <c r="J325" s="33" t="inlineStr">
        <is>
          <t>0 a 55</t>
        </is>
      </c>
      <c r="K325" s="33" t="inlineStr">
        <is>
          <t>Pública</t>
        </is>
      </c>
      <c r="L325" s="33" t="inlineStr">
        <is>
          <t>Copiado de curated/infraestructura/distritos_infraestructura.csv (unión por codigo). Origen: Conteo de paradas con modo 'tren_ligero'.</t>
        </is>
      </c>
      <c r="M325" s="33" t="inlineStr">
        <is>
          <t>¿Dónde opera el tren ligero?</t>
        </is>
      </c>
    </row>
    <row r="326" ht="15.75" customHeight="1" s="24">
      <c r="A326" s="33" t="inlineStr">
        <is>
          <t>F23</t>
        </is>
      </c>
      <c r="B326" s="33" t="inlineStr">
        <is>
          <t>public/data/infraestructura.json</t>
        </is>
      </c>
      <c r="C326" s="33" t="inlineStr">
        <is>
          <t>distritos[].paradas_ferry</t>
        </is>
      </c>
      <c r="D326" s="33" t="inlineStr">
        <is>
          <t>(calculado)</t>
        </is>
      </c>
      <c r="E326" s="33" t="inlineStr">
        <is>
          <t>Muelles servidos por ferris.</t>
        </is>
      </c>
      <c r="F326" s="33" t="inlineStr">
        <is>
          <t>Entero</t>
        </is>
      </c>
      <c r="G326" s="33" t="inlineStr">
        <is>
          <t>muelles</t>
        </is>
      </c>
      <c r="H326" s="33" t="inlineStr">
        <is>
          <t>5</t>
        </is>
      </c>
      <c r="I326" s="33" t="inlineStr">
        <is>
          <t>No</t>
        </is>
      </c>
      <c r="J326" s="33" t="inlineStr">
        <is>
          <t>0 a 10</t>
        </is>
      </c>
      <c r="K326" s="33" t="inlineStr">
        <is>
          <t>Pública</t>
        </is>
      </c>
      <c r="L326" s="33" t="inlineStr">
        <is>
          <t>Copiado de curated/infraestructura/distritos_infraestructura.csv (unión por codigo). Origen: Conteo de paradas con modo 'ferry'.</t>
        </is>
      </c>
      <c r="M326" s="33" t="inlineStr">
        <is>
          <t>¿Qué zonas dependen del ferry?</t>
        </is>
      </c>
    </row>
    <row r="327" ht="15.75" customHeight="1" s="24">
      <c r="A327" s="33" t="inlineStr">
        <is>
          <t>F24</t>
        </is>
      </c>
      <c r="B327" s="33" t="inlineStr">
        <is>
          <t>public/data/infraestructura.json</t>
        </is>
      </c>
      <c r="C327" s="33" t="inlineStr">
        <is>
          <t>distritos[].hospitales_urgencias</t>
        </is>
      </c>
      <c r="D327" s="33" t="inlineStr">
        <is>
          <t>(calculado)</t>
        </is>
      </c>
      <c r="E327" s="33" t="inlineStr">
        <is>
          <t>Hospitales públicos con urgencias ubicados en el distrito.</t>
        </is>
      </c>
      <c r="F327" s="33" t="inlineStr">
        <is>
          <t>Entero</t>
        </is>
      </c>
      <c r="G327" s="33" t="inlineStr">
        <is>
          <t>hospitales</t>
        </is>
      </c>
      <c r="H327" s="33" t="inlineStr">
        <is>
          <t>0</t>
        </is>
      </c>
      <c r="I327" s="33" t="inlineStr">
        <is>
          <t>No</t>
        </is>
      </c>
      <c r="J327" s="33" t="inlineStr">
        <is>
          <t>0 a 2</t>
        </is>
      </c>
      <c r="K327" s="33" t="inlineStr">
        <is>
          <t>Pública</t>
        </is>
      </c>
      <c r="L327" s="33" t="inlineStr">
        <is>
          <t>Copiado de curated/infraestructura/distritos_infraestructura.csv (unión por codigo). Origen: Conteo tras unión espacial de hospitales a distritos.</t>
        </is>
      </c>
      <c r="M327" s="33" t="inlineStr">
        <is>
          <t>¿Cuántas urgencias hay en cada distrito? (Wiki 1.8)</t>
        </is>
      </c>
    </row>
    <row r="328" ht="15.75" customHeight="1" s="24">
      <c r="A328" s="33" t="inlineStr">
        <is>
          <t>F23</t>
        </is>
      </c>
      <c r="B328" s="33" t="inlineStr">
        <is>
          <t>public/data/infraestructura.json</t>
        </is>
      </c>
      <c r="C328" s="33" t="inlineStr">
        <is>
          <t>distritos[].rutas_distintas</t>
        </is>
      </c>
      <c r="D328" s="33" t="inlineStr">
        <is>
          <t>(calculado)</t>
        </is>
      </c>
      <c r="E328" s="33" t="inlineStr">
        <is>
          <t>Número de rutas distintas que tocan al menos una parada del distrito.</t>
        </is>
      </c>
      <c r="F328" s="33" t="inlineStr">
        <is>
          <t>Entero</t>
        </is>
      </c>
      <c r="G328" s="33" t="inlineStr">
        <is>
          <t>rutas</t>
        </is>
      </c>
      <c r="H328" s="33" t="inlineStr">
        <is>
          <t>333</t>
        </is>
      </c>
      <c r="I328" s="33" t="inlineStr">
        <is>
          <t>No</t>
        </is>
      </c>
      <c r="J328" s="33" t="inlineStr">
        <is>
          <t>135 a 492</t>
        </is>
      </c>
      <c r="K328" s="33" t="inlineStr">
        <is>
          <t>Pública</t>
        </is>
      </c>
      <c r="L328" s="33" t="inlineStr">
        <is>
          <t>Copiado de curated/infraestructura/distritos_infraestructura.csv (unión por codigo). Origen: Conteo de pares operador:ruta únicos por distrito.</t>
        </is>
      </c>
      <c r="M328" s="33" t="inlineStr">
        <is>
          <t>¿Qué tan conectado está el distrito con el resto de la ciudad?</t>
        </is>
      </c>
    </row>
    <row r="329" ht="15.75" customHeight="1" s="24">
      <c r="A329" s="33" t="inlineStr">
        <is>
          <t>F23, F22</t>
        </is>
      </c>
      <c r="B329" s="33" t="inlineStr">
        <is>
          <t>public/data/infraestructura.json</t>
        </is>
      </c>
      <c r="C329" s="33" t="inlineStr">
        <is>
          <t>distritos[].paradas_por_km2</t>
        </is>
      </c>
      <c r="D329" s="33" t="inlineStr">
        <is>
          <t>(calculado)</t>
        </is>
      </c>
      <c r="E329" s="33" t="inlineStr">
        <is>
          <t>Paradas de transporte por km² de tierra.</t>
        </is>
      </c>
      <c r="F329" s="33" t="inlineStr">
        <is>
          <t>Decimal</t>
        </is>
      </c>
      <c r="G329" s="33" t="inlineStr">
        <is>
          <t>paradas/km²</t>
        </is>
      </c>
      <c r="H329" s="33" t="inlineStr">
        <is>
          <t>53.86</t>
        </is>
      </c>
      <c r="I329" s="33" t="inlineStr">
        <is>
          <t>No</t>
        </is>
      </c>
      <c r="J329" s="33" t="inlineStr">
        <is>
          <t>2,52 a 122,8</t>
        </is>
      </c>
      <c r="K329" s="33" t="inlineStr">
        <is>
          <t>Pública</t>
        </is>
      </c>
      <c r="L329" s="33" t="inlineStr">
        <is>
          <t>Copiado de curated/infraestructura/distritos_infraestructura.csv (unión por codigo). Origen: paradas_transporte / area_km2_oficial.</t>
        </is>
      </c>
      <c r="M329" s="33" t="inlineStr">
        <is>
          <t>¿Dónde es más densa la red de transporte?</t>
        </is>
      </c>
    </row>
    <row r="330" ht="15.75" customHeight="1" s="24">
      <c r="A330" s="33" t="inlineStr">
        <is>
          <t>F23, F20</t>
        </is>
      </c>
      <c r="B330" s="33" t="inlineStr">
        <is>
          <t>public/data/infraestructura.json</t>
        </is>
      </c>
      <c r="C330" s="33" t="inlineStr">
        <is>
          <t>distritos[].paradas_por_10k_hab</t>
        </is>
      </c>
      <c r="D330" s="33" t="inlineStr">
        <is>
          <t>(calculado)</t>
        </is>
      </c>
      <c r="E330" s="33" t="inlineStr">
        <is>
          <t>Paradas de transporte por cada 10.000 habitantes.</t>
        </is>
      </c>
      <c r="F330" s="33" t="inlineStr">
        <is>
          <t>Decimal</t>
        </is>
      </c>
      <c r="G330" s="33" t="inlineStr">
        <is>
          <t>paradas por 10.000 hab</t>
        </is>
      </c>
      <c r="H330" s="33" t="inlineStr">
        <is>
          <t>28.65</t>
        </is>
      </c>
      <c r="I330" s="33" t="inlineStr">
        <is>
          <t>No</t>
        </is>
      </c>
      <c r="J330" s="33" t="inlineStr">
        <is>
          <t>15,41 a 37,61</t>
        </is>
      </c>
      <c r="K330" s="33" t="inlineStr">
        <is>
          <t>Pública</t>
        </is>
      </c>
      <c r="L330" s="33" t="inlineStr">
        <is>
          <t>Copiado de curated/infraestructura/distritos_infraestructura.csv (unión por codigo). Origen: 10.000 × paradas_transporte / poblacion_2021.</t>
        </is>
      </c>
      <c r="M330" s="33" t="inlineStr">
        <is>
          <t>¿Qué distritos tienen menos transporte por habitante?</t>
        </is>
      </c>
    </row>
    <row r="331" ht="15.75" customHeight="1" s="24">
      <c r="A331" s="33" t="inlineStr">
        <is>
          <t>F24, F20</t>
        </is>
      </c>
      <c r="B331" s="33" t="inlineStr">
        <is>
          <t>public/data/infraestructura.json</t>
        </is>
      </c>
      <c r="C331" s="33" t="inlineStr">
        <is>
          <t>distritos[].hab_por_hospital_urgencias</t>
        </is>
      </c>
      <c r="D331" s="33" t="inlineStr">
        <is>
          <t>(calculado)</t>
        </is>
      </c>
      <c r="E331" s="33" t="inlineStr">
        <is>
          <t>Habitantes por cada hospital con urgencias dentro del distrito.</t>
        </is>
      </c>
      <c r="F331" s="33" t="inlineStr">
        <is>
          <t>Decimal</t>
        </is>
      </c>
      <c r="G331" s="33" t="inlineStr">
        <is>
          <t>hab/hospital</t>
        </is>
      </c>
      <c r="H331" s="33" t="inlineStr">
        <is>
          <t>166695.0</t>
        </is>
      </c>
      <c r="I331" s="33" t="inlineStr">
        <is>
          <t>Sí</t>
        </is>
      </c>
      <c r="J331" s="33" t="inlineStr">
        <is>
          <t>9,264e+04 a 6,928e+05</t>
        </is>
      </c>
      <c r="K331" s="33" t="inlineStr">
        <is>
          <t>Pública</t>
        </is>
      </c>
      <c r="L331" s="33" t="inlineStr">
        <is>
          <t>Copiado de curated/infraestructura/distritos_infraestructura.csv (unión por codigo). Origen: poblacion_2021 / hospitales_urgencias; vacío si el distrito no tiene ninguno.</t>
        </is>
      </c>
      <c r="M331" s="33" t="inlineStr">
        <is>
          <t>¿Qué distritos están más presionados en urgencias? (Wiki 1.8)</t>
        </is>
      </c>
    </row>
    <row r="332" ht="15.75" customHeight="1" s="24">
      <c r="A332" s="33" t="inlineStr">
        <is>
          <t>F24, F19</t>
        </is>
      </c>
      <c r="B332" s="33" t="inlineStr">
        <is>
          <t>public/data/infraestructura.json</t>
        </is>
      </c>
      <c r="C332" s="33" t="inlineStr">
        <is>
          <t>distritos[].dist_media_hospital_km</t>
        </is>
      </c>
      <c r="D332" s="33" t="inlineStr">
        <is>
          <t>(calculado)</t>
        </is>
      </c>
      <c r="E332" s="33" t="inlineStr">
        <is>
          <t>Distancia media de las circunscripciones del distrito a la urgencia más cercana.</t>
        </is>
      </c>
      <c r="F332" s="33" t="inlineStr">
        <is>
          <t>Decimal</t>
        </is>
      </c>
      <c r="G332" s="33" t="inlineStr">
        <is>
          <t>km</t>
        </is>
      </c>
      <c r="H332" s="33" t="inlineStr">
        <is>
          <t>2.23</t>
        </is>
      </c>
      <c r="I332" s="33" t="inlineStr">
        <is>
          <t>No</t>
        </is>
      </c>
      <c r="J332" s="33" t="inlineStr">
        <is>
          <t>0,89 a 3,74</t>
        </is>
      </c>
      <c r="K332" s="33" t="inlineStr">
        <is>
          <t>Pública</t>
        </is>
      </c>
      <c r="L332" s="33" t="inlineStr">
        <is>
          <t>Copiado de curated/infraestructura/distritos_infraestructura.csv (unión por codigo). Origen: Promedio por distrito de distancia_hospital_m / 1000.</t>
        </is>
      </c>
      <c r="M332" s="33" t="inlineStr">
        <is>
          <t>¿Qué distritos tienen peor acceso a urgencias? (Wiki 1.8)</t>
        </is>
      </c>
    </row>
    <row r="333" ht="15.75" customHeight="1" s="24">
      <c r="A333" s="33" t="inlineStr">
        <is>
          <t>F23</t>
        </is>
      </c>
      <c r="B333" s="33" t="inlineStr">
        <is>
          <t>public/data/infraestructura.json</t>
        </is>
      </c>
      <c r="C333" s="33" t="inlineStr">
        <is>
          <t>estaciones_mtr[].codigo_estacion</t>
        </is>
      </c>
      <c r="D333" s="33" t="inlineStr">
        <is>
          <t>stop id MTR / code HKO</t>
        </is>
      </c>
      <c r="E333" s="33" t="inlineStr">
        <is>
          <t>Código de la estación (MTR de 3 letras u HKO).</t>
        </is>
      </c>
      <c r="F333" s="33" t="inlineStr">
        <is>
          <t>Texto</t>
        </is>
      </c>
      <c r="G333" s="33" t="inlineStr">
        <is>
          <t>—</t>
        </is>
      </c>
      <c r="H333" s="33" t="inlineStr">
        <is>
          <t>ADM</t>
        </is>
      </c>
      <c r="I333" s="33" t="inlineStr">
        <is>
          <t>No</t>
        </is>
      </c>
      <c r="J333" s="33" t="inlineStr">
        <is>
          <t>97 valores distintos</t>
        </is>
      </c>
      <c r="K333" s="33" t="inlineStr">
        <is>
          <t>Pública</t>
        </is>
      </c>
      <c r="L333" s="33" t="inlineStr">
        <is>
          <t>Renombrado.</t>
        </is>
      </c>
      <c r="M333" s="33" t="inlineStr">
        <is>
          <t>¿Qué estación es?</t>
        </is>
      </c>
    </row>
    <row r="334" ht="15.75" customHeight="1" s="24">
      <c r="A334" s="33" t="inlineStr">
        <is>
          <t>F23, F24, F19</t>
        </is>
      </c>
      <c r="B334" s="33" t="inlineStr">
        <is>
          <t>public/data/infraestructura.json</t>
        </is>
      </c>
      <c r="C334" s="33" t="inlineStr">
        <is>
          <t>estaciones_mtr[].nombre_en</t>
        </is>
      </c>
      <c r="D334" s="33" t="inlineStr">
        <is>
          <t>ENAME / name.en</t>
        </is>
      </c>
      <c r="E334" s="33" t="inlineStr">
        <is>
          <t>Nombre en inglés del lugar (circunscripción, parada o estación).</t>
        </is>
      </c>
      <c r="F334" s="33" t="inlineStr">
        <is>
          <t>Texto</t>
        </is>
      </c>
      <c r="G334" s="33" t="inlineStr">
        <is>
          <t>—</t>
        </is>
      </c>
      <c r="H334" s="33" t="inlineStr">
        <is>
          <t>Admiralty</t>
        </is>
      </c>
      <c r="I334" s="33" t="inlineStr">
        <is>
          <t>No</t>
        </is>
      </c>
      <c r="J334" s="33" t="inlineStr">
        <is>
          <t>97 valores distintos</t>
        </is>
      </c>
      <c r="K334" s="33" t="inlineStr">
        <is>
          <t>Pública</t>
        </is>
      </c>
      <c r="L334" s="33" t="inlineStr">
        <is>
          <t>Renombrado.</t>
        </is>
      </c>
      <c r="M334" s="33" t="inlineStr">
        <is>
          <t>¿Cómo se llama este lugar?</t>
        </is>
      </c>
    </row>
    <row r="335" ht="15.75" customHeight="1" s="24">
      <c r="A335" s="33" t="inlineStr">
        <is>
          <t>F23, F24, F19</t>
        </is>
      </c>
      <c r="B335" s="33" t="inlineStr">
        <is>
          <t>public/data/infraestructura.json</t>
        </is>
      </c>
      <c r="C335" s="33" t="inlineStr">
        <is>
          <t>estaciones_mtr[].nombre_zh</t>
        </is>
      </c>
      <c r="D335" s="33" t="inlineStr">
        <is>
          <t>CNAME / name.zh</t>
        </is>
      </c>
      <c r="E335" s="33" t="inlineStr">
        <is>
          <t>Nombre en chino del lugar (circunscripción, parada o estación).</t>
        </is>
      </c>
      <c r="F335" s="33" t="inlineStr">
        <is>
          <t>Texto</t>
        </is>
      </c>
      <c r="G335" s="33" t="inlineStr">
        <is>
          <t>—</t>
        </is>
      </c>
      <c r="H335" s="33" t="inlineStr">
        <is>
          <t>金鐘</t>
        </is>
      </c>
      <c r="I335" s="33" t="inlineStr">
        <is>
          <t>No</t>
        </is>
      </c>
      <c r="J335" s="33" t="inlineStr">
        <is>
          <t>97 valores distintos</t>
        </is>
      </c>
      <c r="K335" s="33" t="inlineStr">
        <is>
          <t>Pública</t>
        </is>
      </c>
      <c r="L335" s="33" t="inlineStr">
        <is>
          <t>Renombrado.</t>
        </is>
      </c>
      <c r="M335" s="33" t="inlineStr">
        <is>
          <t>¿Cómo se llama este lugar en chino?</t>
        </is>
      </c>
    </row>
    <row r="336" ht="15.75" customHeight="1" s="24">
      <c r="A336" s="33" t="inlineStr">
        <is>
          <t>F23, F24, F19</t>
        </is>
      </c>
      <c r="B336" s="33" t="inlineStr">
        <is>
          <t>public/data/infraestructura.json</t>
        </is>
      </c>
      <c r="C336" s="33" t="inlineStr">
        <is>
          <t>estaciones_mtr[].lat</t>
        </is>
      </c>
      <c r="D336" s="33" t="inlineStr">
        <is>
          <t>location.lat / Latitude / lat</t>
        </is>
      </c>
      <c r="E336" s="33" t="inlineStr">
        <is>
          <t>Latitud del punto.</t>
        </is>
      </c>
      <c r="F336" s="33" t="inlineStr">
        <is>
          <t>Decimal</t>
        </is>
      </c>
      <c r="G336" s="33" t="inlineStr">
        <is>
          <t>grados decimales (WGS84)</t>
        </is>
      </c>
      <c r="H336" s="33" t="inlineStr">
        <is>
          <t>22.27942</t>
        </is>
      </c>
      <c r="I336" s="33" t="inlineStr">
        <is>
          <t>No</t>
        </is>
      </c>
      <c r="J336" s="33" t="inlineStr">
        <is>
          <t>22,24 a 22,53</t>
        </is>
      </c>
      <c r="K336" s="33" t="inlineStr">
        <is>
          <t>Pública</t>
        </is>
      </c>
      <c r="L336" s="33" t="inlineStr">
        <is>
          <t>En estaciones HKO se convirtió de grados-minutos-segundos a decimal.</t>
        </is>
      </c>
      <c r="M336" s="33" t="inlineStr">
        <is>
          <t>¿Dónde está ubicado en el mapa?</t>
        </is>
      </c>
    </row>
    <row r="337" ht="15.75" customHeight="1" s="24">
      <c r="A337" s="33" t="inlineStr">
        <is>
          <t>F23, F24, F19</t>
        </is>
      </c>
      <c r="B337" s="33" t="inlineStr">
        <is>
          <t>public/data/infraestructura.json</t>
        </is>
      </c>
      <c r="C337" s="33" t="inlineStr">
        <is>
          <t>estaciones_mtr[].lon</t>
        </is>
      </c>
      <c r="D337" s="33" t="inlineStr">
        <is>
          <t>location.lng / Longitude / long</t>
        </is>
      </c>
      <c r="E337" s="33" t="inlineStr">
        <is>
          <t>Longitud del punto.</t>
        </is>
      </c>
      <c r="F337" s="33" t="inlineStr">
        <is>
          <t>Decimal</t>
        </is>
      </c>
      <c r="G337" s="33" t="inlineStr">
        <is>
          <t>grados decimales (WGS84)</t>
        </is>
      </c>
      <c r="H337" s="33" t="inlineStr">
        <is>
          <t>114.16435</t>
        </is>
      </c>
      <c r="I337" s="33" t="inlineStr">
        <is>
          <t>No</t>
        </is>
      </c>
      <c r="J337" s="33" t="inlineStr">
        <is>
          <t>113,9 a 114,3</t>
        </is>
      </c>
      <c r="K337" s="33" t="inlineStr">
        <is>
          <t>Pública</t>
        </is>
      </c>
      <c r="L337" s="33" t="inlineStr">
        <is>
          <t>En estaciones HKO se convirtió de grados-minutos-segundos a decimal.</t>
        </is>
      </c>
      <c r="M337" s="33" t="inlineStr">
        <is>
          <t>¿Dónde está ubicado en el mapa?</t>
        </is>
      </c>
    </row>
    <row r="338" ht="15.75" customHeight="1" s="24">
      <c r="A338" s="33" t="inlineStr">
        <is>
          <t>F23</t>
        </is>
      </c>
      <c r="B338" s="33" t="inlineStr">
        <is>
          <t>public/data/infraestructura.json</t>
        </is>
      </c>
      <c r="C338" s="33" t="inlineStr">
        <is>
          <t>estaciones_mtr[].n_rutas</t>
        </is>
      </c>
      <c r="D338" s="33" t="inlineStr">
        <is>
          <t>(calculado)</t>
        </is>
      </c>
      <c r="E338" s="33" t="inlineStr">
        <is>
          <t>Número de rutas distintas que pasan por la parada o estación.</t>
        </is>
      </c>
      <c r="F338" s="33" t="inlineStr">
        <is>
          <t>Entero</t>
        </is>
      </c>
      <c r="G338" s="33" t="inlineStr">
        <is>
          <t>rutas</t>
        </is>
      </c>
      <c r="H338" s="33" t="inlineStr">
        <is>
          <t>4</t>
        </is>
      </c>
      <c r="I338" s="33" t="inlineStr">
        <is>
          <t>No</t>
        </is>
      </c>
      <c r="J338" s="33" t="inlineStr">
        <is>
          <t>1 a 4</t>
        </is>
      </c>
      <c r="K338" s="33" t="inlineStr">
        <is>
          <t>Pública</t>
        </is>
      </c>
      <c r="L338" s="33" t="inlineStr">
        <is>
          <t>Conteo de pares operador:ruta que incluyen la parada.</t>
        </is>
      </c>
      <c r="M338" s="33" t="inlineStr">
        <is>
          <t>¿Qué tan bien servida está la parada?</t>
        </is>
      </c>
    </row>
    <row r="339" ht="15.75" customHeight="1" s="24">
      <c r="A339" s="33" t="inlineStr">
        <is>
          <t>F19</t>
        </is>
      </c>
      <c r="B339" s="33" t="inlineStr">
        <is>
          <t>public/data/infraestructura.json</t>
        </is>
      </c>
      <c r="C339" s="33" t="inlineStr">
        <is>
          <t>estaciones_mtr[].codigo</t>
        </is>
      </c>
      <c r="D339" s="33" t="inlineStr">
        <is>
          <t>dc_class / 1ª letra de CACODE</t>
        </is>
      </c>
      <c r="E339" s="33" t="inlineStr">
        <is>
          <t>Código de letra del distrito (A–T) usado por el censo y la EAC.</t>
        </is>
      </c>
      <c r="F339" s="33" t="inlineStr">
        <is>
          <t>Texto</t>
        </is>
      </c>
      <c r="G339" s="33" t="inlineStr">
        <is>
          <t>—</t>
        </is>
      </c>
      <c r="H339" s="33" t="inlineStr">
        <is>
          <t>A</t>
        </is>
      </c>
      <c r="I339" s="33" t="inlineStr">
        <is>
          <t>No</t>
        </is>
      </c>
      <c r="J339" s="33" t="inlineStr">
        <is>
          <t>18 valores distintos</t>
        </is>
      </c>
      <c r="K339" s="33" t="inlineStr">
        <is>
          <t>Pública</t>
        </is>
      </c>
      <c r="L339" s="33" t="inlineStr">
        <is>
          <t>Derivado de la primera letra del código DCCA; se usa como llave de unión entre todas las tablas.</t>
        </is>
      </c>
      <c r="M339" s="33" t="inlineStr">
        <is>
          <t>¿A qué distrito pertenece este registro?</t>
        </is>
      </c>
    </row>
    <row r="340" ht="15.75" customHeight="1" s="24">
      <c r="A340" s="33" t="inlineStr">
        <is>
          <t>F24</t>
        </is>
      </c>
      <c r="B340" s="33" t="inlineStr">
        <is>
          <t>public/data/infraestructura.json</t>
        </is>
      </c>
      <c r="C340" s="33" t="inlineStr">
        <is>
          <t>hospitales[].hospital_en</t>
        </is>
      </c>
      <c r="D340" s="33" t="inlineStr">
        <is>
          <t>Hospital</t>
        </is>
      </c>
      <c r="E340" s="33" t="inlineStr">
        <is>
          <t>Nombre del hospital en inglés.</t>
        </is>
      </c>
      <c r="F340" s="33" t="inlineStr">
        <is>
          <t>Texto</t>
        </is>
      </c>
      <c r="G340" s="33" t="inlineStr">
        <is>
          <t>—</t>
        </is>
      </c>
      <c r="H340" s="33" t="inlineStr">
        <is>
          <t>Alice Ho Miu Ling Nethersole Hospital</t>
        </is>
      </c>
      <c r="I340" s="33" t="inlineStr">
        <is>
          <t>No</t>
        </is>
      </c>
      <c r="J340" s="33" t="inlineStr">
        <is>
          <t>18 valores distintos</t>
        </is>
      </c>
      <c r="K340" s="33" t="inlineStr">
        <is>
          <t>Pública</t>
        </is>
      </c>
      <c r="L340" s="33" t="inlineStr">
        <is>
          <t>Copiado.</t>
        </is>
      </c>
      <c r="M340" s="33" t="inlineStr">
        <is>
          <t>¿Qué hospital es?</t>
        </is>
      </c>
    </row>
    <row r="341" ht="15.75" customHeight="1" s="24">
      <c r="A341" s="33" t="inlineStr">
        <is>
          <t>F24</t>
        </is>
      </c>
      <c r="B341" s="33" t="inlineStr">
        <is>
          <t>public/data/infraestructura.json</t>
        </is>
      </c>
      <c r="C341" s="33" t="inlineStr">
        <is>
          <t>hospitales[].hospital_zh</t>
        </is>
      </c>
      <c r="D341" s="33" t="inlineStr">
        <is>
          <t>HospitalZh</t>
        </is>
      </c>
      <c r="E341" s="33" t="inlineStr">
        <is>
          <t>Nombre del hospital en chino.</t>
        </is>
      </c>
      <c r="F341" s="33" t="inlineStr">
        <is>
          <t>Texto</t>
        </is>
      </c>
      <c r="G341" s="33" t="inlineStr">
        <is>
          <t>—</t>
        </is>
      </c>
      <c r="H341" s="33" t="inlineStr">
        <is>
          <t>雅麗氏何妙齡那打素醫院</t>
        </is>
      </c>
      <c r="I341" s="33" t="inlineStr">
        <is>
          <t>No</t>
        </is>
      </c>
      <c r="J341" s="33" t="inlineStr">
        <is>
          <t>18 valores distintos</t>
        </is>
      </c>
      <c r="K341" s="33" t="inlineStr">
        <is>
          <t>Pública</t>
        </is>
      </c>
      <c r="L341" s="33" t="inlineStr">
        <is>
          <t>Copiado.</t>
        </is>
      </c>
      <c r="M341" s="33" t="inlineStr">
        <is>
          <t>¿Cómo se llama el hospital en chino?</t>
        </is>
      </c>
    </row>
    <row r="342" ht="15.75" customHeight="1" s="24">
      <c r="A342" s="33" t="inlineStr">
        <is>
          <t>F23, F24, F19</t>
        </is>
      </c>
      <c r="B342" s="33" t="inlineStr">
        <is>
          <t>public/data/infraestructura.json</t>
        </is>
      </c>
      <c r="C342" s="33" t="inlineStr">
        <is>
          <t>hospitales[].lat</t>
        </is>
      </c>
      <c r="D342" s="33" t="inlineStr">
        <is>
          <t>location.lat / Latitude / lat</t>
        </is>
      </c>
      <c r="E342" s="33" t="inlineStr">
        <is>
          <t>Latitud del punto.</t>
        </is>
      </c>
      <c r="F342" s="33" t="inlineStr">
        <is>
          <t>Decimal</t>
        </is>
      </c>
      <c r="G342" s="33" t="inlineStr">
        <is>
          <t>grados decimales (WGS84)</t>
        </is>
      </c>
      <c r="H342" s="33" t="inlineStr">
        <is>
          <t>22.4586</t>
        </is>
      </c>
      <c r="I342" s="33" t="inlineStr">
        <is>
          <t>No</t>
        </is>
      </c>
      <c r="J342" s="33" t="inlineStr">
        <is>
          <t>22,21 a 22,5</t>
        </is>
      </c>
      <c r="K342" s="33" t="inlineStr">
        <is>
          <t>Pública</t>
        </is>
      </c>
      <c r="L342" s="33" t="inlineStr">
        <is>
          <t>En estaciones HKO se convirtió de grados-minutos-segundos a decimal.</t>
        </is>
      </c>
      <c r="M342" s="33" t="inlineStr">
        <is>
          <t>¿Dónde está ubicado en el mapa?</t>
        </is>
      </c>
    </row>
    <row r="343" ht="15.75" customHeight="1" s="24">
      <c r="A343" s="33" t="inlineStr">
        <is>
          <t>F23, F24, F19</t>
        </is>
      </c>
      <c r="B343" s="33" t="inlineStr">
        <is>
          <t>public/data/infraestructura.json</t>
        </is>
      </c>
      <c r="C343" s="33" t="inlineStr">
        <is>
          <t>hospitales[].lon</t>
        </is>
      </c>
      <c r="D343" s="33" t="inlineStr">
        <is>
          <t>location.lng / Longitude / long</t>
        </is>
      </c>
      <c r="E343" s="33" t="inlineStr">
        <is>
          <t>Longitud del punto.</t>
        </is>
      </c>
      <c r="F343" s="33" t="inlineStr">
        <is>
          <t>Decimal</t>
        </is>
      </c>
      <c r="G343" s="33" t="inlineStr">
        <is>
          <t>grados decimales (WGS84)</t>
        </is>
      </c>
      <c r="H343" s="33" t="inlineStr">
        <is>
          <t>114.1733</t>
        </is>
      </c>
      <c r="I343" s="33" t="inlineStr">
        <is>
          <t>No</t>
        </is>
      </c>
      <c r="J343" s="33" t="inlineStr">
        <is>
          <t>113,9 a 114,3</t>
        </is>
      </c>
      <c r="K343" s="33" t="inlineStr">
        <is>
          <t>Pública</t>
        </is>
      </c>
      <c r="L343" s="33" t="inlineStr">
        <is>
          <t>En estaciones HKO se convirtió de grados-minutos-segundos a decimal.</t>
        </is>
      </c>
      <c r="M343" s="33" t="inlineStr">
        <is>
          <t>¿Dónde está ubicado en el mapa?</t>
        </is>
      </c>
    </row>
    <row r="344" ht="15.75" customHeight="1" s="24">
      <c r="A344" s="33" t="inlineStr">
        <is>
          <t>F24</t>
        </is>
      </c>
      <c r="B344" s="33" t="inlineStr">
        <is>
          <t>public/data/infraestructura.json</t>
        </is>
      </c>
      <c r="C344" s="33" t="inlineStr">
        <is>
          <t>hospitales[].servicio</t>
        </is>
      </c>
      <c r="D344" s="33" t="inlineStr">
        <is>
          <t>(rotulado)</t>
        </is>
      </c>
      <c r="E344" s="33" t="inlineStr">
        <is>
          <t>Tipo de servicio del hospital incluido en la tabla.</t>
        </is>
      </c>
      <c r="F344" s="33" t="inlineStr">
        <is>
          <t>Texto</t>
        </is>
      </c>
      <c r="G344" s="33" t="inlineStr">
        <is>
          <t>—</t>
        </is>
      </c>
      <c r="H344" s="33" t="inlineStr">
        <is>
          <t>A&amp;E (urgencias)</t>
        </is>
      </c>
      <c r="I344" s="33" t="inlineStr">
        <is>
          <t>No</t>
        </is>
      </c>
      <c r="J344" s="33" t="inlineStr">
        <is>
          <t>A&amp;E (urgencias)</t>
        </is>
      </c>
      <c r="K344" s="33" t="inlineStr">
        <is>
          <t>Pública</t>
        </is>
      </c>
      <c r="L344" s="33" t="inlineStr">
        <is>
          <t>Constante 'A&amp;E (urgencias)'.</t>
        </is>
      </c>
      <c r="M344" s="33" t="inlineStr">
        <is>
          <t>¿Qué servicio ofrece?</t>
        </is>
      </c>
    </row>
    <row r="345" ht="15.75" customHeight="1" s="24">
      <c r="A345" s="33" t="inlineStr">
        <is>
          <t>F19</t>
        </is>
      </c>
      <c r="B345" s="33" t="inlineStr">
        <is>
          <t>public/data/infraestructura.json</t>
        </is>
      </c>
      <c r="C345" s="33" t="inlineStr">
        <is>
          <t>hospitales[].codigo_dcca</t>
        </is>
      </c>
      <c r="D345" s="33" t="inlineStr">
        <is>
          <t>CACODE</t>
        </is>
      </c>
      <c r="E345" s="33" t="inlineStr">
        <is>
          <t>Código de la circunscripción del Consejo de Distrito (DCCA 2019).</t>
        </is>
      </c>
      <c r="F345" s="33" t="inlineStr">
        <is>
          <t>Texto</t>
        </is>
      </c>
      <c r="G345" s="33" t="inlineStr">
        <is>
          <t>—</t>
        </is>
      </c>
      <c r="H345" s="33" t="inlineStr">
        <is>
          <t>P05</t>
        </is>
      </c>
      <c r="I345" s="33" t="inlineStr">
        <is>
          <t>No</t>
        </is>
      </c>
      <c r="J345" s="33" t="inlineStr">
        <is>
          <t>18 valores distintos</t>
        </is>
      </c>
      <c r="K345" s="33" t="inlineStr">
        <is>
          <t>Pública</t>
        </is>
      </c>
      <c r="L345" s="33" t="inlineStr">
        <is>
          <t>Renombrado; para puntos se asigna por unión espacial punto-en-polígono (o polígono más cercano ≤1 km).</t>
        </is>
      </c>
      <c r="M345" s="33" t="inlineStr">
        <is>
          <t>¿En qué circunscripción cae este punto o zona?</t>
        </is>
      </c>
    </row>
    <row r="346" ht="15.75" customHeight="1" s="24">
      <c r="A346" s="33" t="inlineStr">
        <is>
          <t>F19</t>
        </is>
      </c>
      <c r="B346" s="33" t="inlineStr">
        <is>
          <t>public/data/infraestructura.json</t>
        </is>
      </c>
      <c r="C346" s="33" t="inlineStr">
        <is>
          <t>hospitales[].codigo</t>
        </is>
      </c>
      <c r="D346" s="33" t="inlineStr">
        <is>
          <t>dc_class / 1ª letra de CACODE</t>
        </is>
      </c>
      <c r="E346" s="33" t="inlineStr">
        <is>
          <t>Código de letra del distrito (A–T) usado por el censo y la EAC.</t>
        </is>
      </c>
      <c r="F346" s="33" t="inlineStr">
        <is>
          <t>Texto</t>
        </is>
      </c>
      <c r="G346" s="33" t="inlineStr">
        <is>
          <t>—</t>
        </is>
      </c>
      <c r="H346" s="33" t="inlineStr">
        <is>
          <t>P</t>
        </is>
      </c>
      <c r="I346" s="33" t="inlineStr">
        <is>
          <t>No</t>
        </is>
      </c>
      <c r="J346" s="33" t="inlineStr">
        <is>
          <t>15 valores distintos</t>
        </is>
      </c>
      <c r="K346" s="33" t="inlineStr">
        <is>
          <t>Pública</t>
        </is>
      </c>
      <c r="L346" s="33" t="inlineStr">
        <is>
          <t>Derivado de la primera letra del código DCCA; se usa como llave de unión entre todas las tablas.</t>
        </is>
      </c>
      <c r="M346" s="33" t="inlineStr">
        <is>
          <t>¿A qué distrito pertenece este registro?</t>
        </is>
      </c>
    </row>
    <row r="347" ht="15.75" customHeight="1" s="24">
      <c r="A347" s="33" t="inlineStr">
        <is>
          <t>F24</t>
        </is>
      </c>
      <c r="B347" s="33" t="inlineStr">
        <is>
          <t>public/data/infraestructura.json</t>
        </is>
      </c>
      <c r="C347" s="33" t="inlineStr">
        <is>
          <t>hospitales[].ubicacion_en_tierra</t>
        </is>
      </c>
      <c r="D347" s="33" t="inlineStr">
        <is>
          <t>(calculado)</t>
        </is>
      </c>
      <c r="E347" s="33" t="inlineStr">
        <is>
          <t>Indica si el punto cae dentro de un polígono DCCA (Verdadero) o se asignó al más cercano (Falso).</t>
        </is>
      </c>
      <c r="F347" s="33" t="inlineStr">
        <is>
          <t>Booleano</t>
        </is>
      </c>
      <c r="G347" s="33" t="inlineStr">
        <is>
          <t>booleano</t>
        </is>
      </c>
      <c r="H347" s="33" t="inlineStr">
        <is>
          <t>True</t>
        </is>
      </c>
      <c r="I347" s="33" t="inlineStr">
        <is>
          <t>No</t>
        </is>
      </c>
      <c r="J347" s="33" t="inlineStr">
        <is>
          <t>true / false</t>
        </is>
      </c>
      <c r="K347" s="33" t="inlineStr">
        <is>
          <t>Pública</t>
        </is>
      </c>
      <c r="L347" s="33" t="inlineStr">
        <is>
          <t>Unión espacial: distancia 0 = dentro; &gt;0 y ≤1 km = asignado al más cercano.</t>
        </is>
      </c>
      <c r="M347" s="33" t="inlineStr">
        <is>
          <t>¿Es confiable la asignación territorial del punto?</t>
        </is>
      </c>
    </row>
    <row r="348" ht="15.75" customHeight="1" s="24">
      <c r="A348" s="33" t="inlineStr">
        <is>
          <t>F19</t>
        </is>
      </c>
      <c r="B348" s="33" t="inlineStr">
        <is>
          <t>public/data/infraestructura.json</t>
        </is>
      </c>
      <c r="C348" s="33" t="inlineStr">
        <is>
          <t>acceso_hospital_dcca[].codigo_dcca</t>
        </is>
      </c>
      <c r="D348" s="33" t="inlineStr">
        <is>
          <t>CACODE</t>
        </is>
      </c>
      <c r="E348" s="33" t="inlineStr">
        <is>
          <t>Código de la circunscripción del Consejo de Distrito (DCCA 2019).</t>
        </is>
      </c>
      <c r="F348" s="33" t="inlineStr">
        <is>
          <t>Texto</t>
        </is>
      </c>
      <c r="G348" s="33" t="inlineStr">
        <is>
          <t>—</t>
        </is>
      </c>
      <c r="H348" s="33" t="inlineStr">
        <is>
          <t>B11</t>
        </is>
      </c>
      <c r="I348" s="33" t="inlineStr">
        <is>
          <t>No</t>
        </is>
      </c>
      <c r="J348" s="33" t="inlineStr">
        <is>
          <t>452 valores distintos</t>
        </is>
      </c>
      <c r="K348" s="33" t="inlineStr">
        <is>
          <t>Pública</t>
        </is>
      </c>
      <c r="L348" s="33" t="inlineStr">
        <is>
          <t>Renombrado; para puntos se asigna por unión espacial punto-en-polígono (o polígono más cercano ≤1 km).</t>
        </is>
      </c>
      <c r="M348" s="33" t="inlineStr">
        <is>
          <t>¿En qué circunscripción cae este punto o zona?</t>
        </is>
      </c>
    </row>
    <row r="349" ht="15.75" customHeight="1" s="24">
      <c r="A349" s="33" t="inlineStr">
        <is>
          <t>F19</t>
        </is>
      </c>
      <c r="B349" s="33" t="inlineStr">
        <is>
          <t>public/data/infraestructura.json</t>
        </is>
      </c>
      <c r="C349" s="33" t="inlineStr">
        <is>
          <t>acceso_hospital_dcca[].codigo</t>
        </is>
      </c>
      <c r="D349" s="33" t="inlineStr">
        <is>
          <t>dc_class / 1ª letra de CACODE</t>
        </is>
      </c>
      <c r="E349" s="33" t="inlineStr">
        <is>
          <t>Código de letra del distrito (A–T) usado por el censo y la EAC.</t>
        </is>
      </c>
      <c r="F349" s="33" t="inlineStr">
        <is>
          <t>Texto</t>
        </is>
      </c>
      <c r="G349" s="33" t="inlineStr">
        <is>
          <t>—</t>
        </is>
      </c>
      <c r="H349" s="33" t="inlineStr">
        <is>
          <t>B</t>
        </is>
      </c>
      <c r="I349" s="33" t="inlineStr">
        <is>
          <t>No</t>
        </is>
      </c>
      <c r="J349" s="33" t="inlineStr">
        <is>
          <t>18 valores distintos</t>
        </is>
      </c>
      <c r="K349" s="33" t="inlineStr">
        <is>
          <t>Pública</t>
        </is>
      </c>
      <c r="L349" s="33" t="inlineStr">
        <is>
          <t>Derivado de la primera letra del código DCCA; se usa como llave de unión entre todas las tablas.</t>
        </is>
      </c>
      <c r="M349" s="33" t="inlineStr">
        <is>
          <t>¿A qué distrito pertenece este registro?</t>
        </is>
      </c>
    </row>
    <row r="350" ht="15.75" customHeight="1" s="24">
      <c r="A350" s="33" t="inlineStr">
        <is>
          <t>F24, F19</t>
        </is>
      </c>
      <c r="B350" s="33" t="inlineStr">
        <is>
          <t>public/data/infraestructura.json</t>
        </is>
      </c>
      <c r="C350" s="33" t="inlineStr">
        <is>
          <t>acceso_hospital_dcca[].hospital_urgencias_mas_cercano</t>
        </is>
      </c>
      <c r="D350" s="33" t="inlineStr">
        <is>
          <t>(calculado)</t>
        </is>
      </c>
      <c r="E350" s="33" t="inlineStr">
        <is>
          <t>Hospital con urgencias más cercano al centro de la circunscripción.</t>
        </is>
      </c>
      <c r="F350" s="33" t="inlineStr">
        <is>
          <t>Texto</t>
        </is>
      </c>
      <c r="G350" s="33" t="inlineStr">
        <is>
          <t>—</t>
        </is>
      </c>
      <c r="H350" s="33" t="inlineStr">
        <is>
          <t>Ruttonjee Hospital</t>
        </is>
      </c>
      <c r="I350" s="33" t="inlineStr">
        <is>
          <t>No</t>
        </is>
      </c>
      <c r="J350" s="33" t="inlineStr">
        <is>
          <t>18 valores distintos</t>
        </is>
      </c>
      <c r="K350" s="33" t="inlineStr">
        <is>
          <t>Pública</t>
        </is>
      </c>
      <c r="L350" s="33" t="inlineStr">
        <is>
          <t>Vecino más cercano en EPSG:2326 desde el punto representativo de la DCCA.</t>
        </is>
      </c>
      <c r="M350" s="33" t="inlineStr">
        <is>
          <t>¿A qué hospital iría alguien de esta zona? (Wiki 1.8)</t>
        </is>
      </c>
    </row>
    <row r="351" ht="15.75" customHeight="1" s="24">
      <c r="A351" s="33" t="inlineStr">
        <is>
          <t>F24, F19</t>
        </is>
      </c>
      <c r="B351" s="33" t="inlineStr">
        <is>
          <t>public/data/infraestructura.json</t>
        </is>
      </c>
      <c r="C351" s="33" t="inlineStr">
        <is>
          <t>acceso_hospital_dcca[].distancia_hospital_m</t>
        </is>
      </c>
      <c r="D351" s="33" t="inlineStr">
        <is>
          <t>(calculado)</t>
        </is>
      </c>
      <c r="E351" s="33" t="inlineStr">
        <is>
          <t>Distancia en línea recta al hospital con urgencias más cercano.</t>
        </is>
      </c>
      <c r="F351" s="33" t="inlineStr">
        <is>
          <t>Decimal</t>
        </is>
      </c>
      <c r="G351" s="33" t="inlineStr">
        <is>
          <t>metros</t>
        </is>
      </c>
      <c r="H351" s="33" t="inlineStr">
        <is>
          <t>1373.0</t>
        </is>
      </c>
      <c r="I351" s="33" t="inlineStr">
        <is>
          <t>No</t>
        </is>
      </c>
      <c r="J351" s="33" t="inlineStr">
        <is>
          <t>74 a 2,185e+04</t>
        </is>
      </c>
      <c r="K351" s="33" t="inlineStr">
        <is>
          <t>Pública</t>
        </is>
      </c>
      <c r="L351" s="33" t="inlineStr">
        <is>
          <t>Distancia euclidiana en EPSG:2326, redondeada.</t>
        </is>
      </c>
      <c r="M351" s="33" t="inlineStr">
        <is>
          <t>¿Qué zonas están más lejos de una urgencia? (Wiki 1.8)</t>
        </is>
      </c>
    </row>
    <row r="352" ht="15.75" customHeight="1" s="24">
      <c r="A352" s="33" t="inlineStr">
        <is>
          <t>F25, F26, F27, F19</t>
        </is>
      </c>
      <c r="B352" s="33" t="inlineStr">
        <is>
          <t>public/data/sensores.json</t>
        </is>
      </c>
      <c r="C352" s="33" t="inlineStr">
        <is>
          <t>meta.generado_utc</t>
        </is>
      </c>
      <c r="D352" s="33" t="inlineStr">
        <is>
          <t>(pipeline)</t>
        </is>
      </c>
      <c r="E352" s="33" t="inlineStr">
        <is>
          <t>Momento en que el pipeline generó el archivo.</t>
        </is>
      </c>
      <c r="F352" s="33" t="inlineStr">
        <is>
          <t>Fecha</t>
        </is>
      </c>
      <c r="G352" s="33" t="inlineStr">
        <is>
          <t>fecha-hora UTC</t>
        </is>
      </c>
      <c r="H352" s="33" t="inlineStr">
        <is>
          <t>2026-10-26T12:25:12Z</t>
        </is>
      </c>
      <c r="I352" s="33" t="inlineStr">
        <is>
          <t>No</t>
        </is>
      </c>
      <c r="J352" s="33" t="inlineStr">
        <is>
          <t>2026-10-26T12:25:12Z</t>
        </is>
      </c>
      <c r="K352" s="33" t="inlineStr">
        <is>
          <t>Pública</t>
        </is>
      </c>
      <c r="L352" s="33" t="inlineStr">
        <is>
          <t>datetime.utcnow() al escribir el archivo.</t>
        </is>
      </c>
      <c r="M352" s="33" t="inlineStr">
        <is>
          <t>¿De cuándo son los datos que veo?</t>
        </is>
      </c>
    </row>
    <row r="353" ht="15.75" customHeight="1" s="24">
      <c r="A353" s="33" t="inlineStr">
        <is>
          <t>F25, F26, F27, F19</t>
        </is>
      </c>
      <c r="B353" s="33" t="inlineStr">
        <is>
          <t>public/data/sensores.json</t>
        </is>
      </c>
      <c r="C353" s="33" t="inlineStr">
        <is>
          <t>meta.ciudad</t>
        </is>
      </c>
      <c r="D353" s="33" t="inlineStr">
        <is>
          <t>(pipeline)</t>
        </is>
      </c>
      <c r="E353" s="33" t="inlineStr">
        <is>
          <t>Ciudad a la que corresponde el archivo.</t>
        </is>
      </c>
      <c r="F353" s="33" t="inlineStr">
        <is>
          <t>Texto</t>
        </is>
      </c>
      <c r="G353" s="33" t="inlineStr">
        <is>
          <t>—</t>
        </is>
      </c>
      <c r="H353" s="33" t="inlineStr">
        <is>
          <t>Hong Kong</t>
        </is>
      </c>
      <c r="I353" s="33" t="inlineStr">
        <is>
          <t>No</t>
        </is>
      </c>
      <c r="J353" s="33" t="inlineStr">
        <is>
          <t>Hong Kong</t>
        </is>
      </c>
      <c r="K353" s="33" t="inlineStr">
        <is>
          <t>Pública</t>
        </is>
      </c>
      <c r="L353" s="33" t="inlineStr">
        <is>
          <t>Constante.</t>
        </is>
      </c>
      <c r="M353" s="33" t="inlineStr">
        <is>
          <t>¿De qué ciudad es el tablero?</t>
        </is>
      </c>
    </row>
    <row r="354" ht="15.75" customHeight="1" s="24">
      <c r="A354" s="33" t="inlineStr">
        <is>
          <t>F25, F26, F27, F19</t>
        </is>
      </c>
      <c r="B354" s="33" t="inlineStr">
        <is>
          <t>public/data/sensores.json</t>
        </is>
      </c>
      <c r="C354" s="33" t="inlineStr">
        <is>
          <t>meta.unidad_territorial</t>
        </is>
      </c>
      <c r="D354" s="33" t="inlineStr">
        <is>
          <t>(pipeline)</t>
        </is>
      </c>
      <c r="E354" s="33" t="inlineStr">
        <is>
          <t>Unidad territorial de las filas del archivo.</t>
        </is>
      </c>
      <c r="F354" s="33" t="inlineStr">
        <is>
          <t>Texto</t>
        </is>
      </c>
      <c r="G354" s="33" t="inlineStr">
        <is>
          <t>—</t>
        </is>
      </c>
      <c r="H354" s="33" t="inlineStr">
        <is>
          <t>18 distritos (District Council districts)</t>
        </is>
      </c>
      <c r="I354" s="33" t="inlineStr">
        <is>
          <t>No</t>
        </is>
      </c>
      <c r="J354" s="33" t="inlineStr">
        <is>
          <t>18 distritos (District Council districts)</t>
        </is>
      </c>
      <c r="K354" s="33" t="inlineStr">
        <is>
          <t>Pública</t>
        </is>
      </c>
      <c r="L354" s="33" t="inlineStr">
        <is>
          <t>Constante.</t>
        </is>
      </c>
      <c r="M354" s="33" t="inlineStr">
        <is>
          <t>¿A qué escala se lee cada cifra?</t>
        </is>
      </c>
    </row>
    <row r="355" ht="15.75" customHeight="1" s="24">
      <c r="A355" s="33" t="inlineStr">
        <is>
          <t>F25, F26, F27, F19</t>
        </is>
      </c>
      <c r="B355" s="33" t="inlineStr">
        <is>
          <t>public/data/sensores.json</t>
        </is>
      </c>
      <c r="C355" s="33" t="inlineStr">
        <is>
          <t>meta.catalogo</t>
        </is>
      </c>
      <c r="D355" s="33" t="inlineStr">
        <is>
          <t>(pipeline)</t>
        </is>
      </c>
      <c r="E355" s="33" t="inlineStr">
        <is>
          <t>Ruta al catálogo de fuentes que documenta el archivo.</t>
        </is>
      </c>
      <c r="F355" s="33" t="inlineStr">
        <is>
          <t>Texto</t>
        </is>
      </c>
      <c r="G355" s="33" t="inlineStr">
        <is>
          <t>—</t>
        </is>
      </c>
      <c r="H355" s="33" t="inlineStr">
        <is>
          <t>catalogo/catalogo.json</t>
        </is>
      </c>
      <c r="I355" s="33" t="inlineStr">
        <is>
          <t>No</t>
        </is>
      </c>
      <c r="J355" s="33" t="inlineStr">
        <is>
          <t>catalogo/catalogo.json</t>
        </is>
      </c>
      <c r="K355" s="33" t="inlineStr">
        <is>
          <t>Pública</t>
        </is>
      </c>
      <c r="L355" s="33" t="inlineStr">
        <is>
          <t>Constante.</t>
        </is>
      </c>
      <c r="M355" s="33" t="inlineStr">
        <is>
          <t>¿Dónde está la procedencia?</t>
        </is>
      </c>
    </row>
    <row r="356" ht="15.75" customHeight="1" s="24">
      <c r="A356" s="33" t="inlineStr">
        <is>
          <t>F31</t>
        </is>
      </c>
      <c r="B356" s="33" t="inlineStr">
        <is>
          <t>public/data/sensores.json</t>
        </is>
      </c>
      <c r="C356" s="33" t="inlineStr">
        <is>
          <t>fuente</t>
        </is>
      </c>
      <c r="D356" s="33" t="inlineStr">
        <is>
          <t>(rotulado / dominio de la URL)</t>
        </is>
      </c>
      <c r="E356" s="33" t="inlineStr">
        <is>
          <t>Organismo o medio de origen del dato.</t>
        </is>
      </c>
      <c r="F356" s="33" t="inlineStr">
        <is>
          <t>Texto</t>
        </is>
      </c>
      <c r="G356" s="33" t="inlineStr">
        <is>
          <t>—</t>
        </is>
      </c>
      <c r="H356" s="33" t="inlineStr">
        <is>
          <t>Hong Kong Observatory · Environmental Protection Department (AQHI)</t>
        </is>
      </c>
      <c r="I356" s="33" t="inlineStr">
        <is>
          <t>No</t>
        </is>
      </c>
      <c r="J356" s="33" t="inlineStr">
        <is>
          <t>Hong Kong Observatory · Environmental Protection Department (AQHI)</t>
        </is>
      </c>
      <c r="K356" s="33" t="inlineStr">
        <is>
          <t>Pública</t>
        </is>
      </c>
      <c r="L356" s="33" t="inlineStr">
        <is>
          <t>En noticias se extrae el dominio de la URL con expresión regular.</t>
        </is>
      </c>
      <c r="M356" s="33" t="inlineStr">
        <is>
          <t>¿De dónde viene este dato y qué tan confiable es?</t>
        </is>
      </c>
    </row>
    <row r="357" ht="15.75" customHeight="1" s="24">
      <c r="A357" s="33" t="inlineStr">
        <is>
          <t>F27</t>
        </is>
      </c>
      <c r="B357" s="33" t="inlineStr">
        <is>
          <t>public/data/sensores.json</t>
        </is>
      </c>
      <c r="C357" s="33" t="inlineStr">
        <is>
          <t>estaciones_meteorologicas[].estacion</t>
        </is>
      </c>
      <c r="D357" s="33" t="inlineStr">
        <is>
          <t>Station / station_name</t>
        </is>
      </c>
      <c r="E357" s="33" t="inlineStr">
        <is>
          <t>Nombre de la estación de monitoreo.</t>
        </is>
      </c>
      <c r="F357" s="33" t="inlineStr">
        <is>
          <t>Texto</t>
        </is>
      </c>
      <c r="G357" s="33" t="inlineStr">
        <is>
          <t>—</t>
        </is>
      </c>
      <c r="H357" s="33" t="inlineStr">
        <is>
          <t>Hong Kong Observatory</t>
        </is>
      </c>
      <c r="I357" s="33" t="inlineStr">
        <is>
          <t>No</t>
        </is>
      </c>
      <c r="J357" s="33" t="inlineStr">
        <is>
          <t>82 valores distintos</t>
        </is>
      </c>
      <c r="K357" s="33" t="inlineStr">
        <is>
          <t>Pública</t>
        </is>
      </c>
      <c r="L357" s="33" t="inlineStr">
        <is>
          <t>Renombrado.</t>
        </is>
      </c>
      <c r="M357" s="33" t="inlineStr">
        <is>
          <t>¿Qué estación es?</t>
        </is>
      </c>
    </row>
    <row r="358" ht="15.75" customHeight="1" s="24">
      <c r="A358" s="33" t="inlineStr">
        <is>
          <t>F23</t>
        </is>
      </c>
      <c r="B358" s="33" t="inlineStr">
        <is>
          <t>public/data/sensores.json</t>
        </is>
      </c>
      <c r="C358" s="33" t="inlineStr">
        <is>
          <t>estaciones_meteorologicas[].codigo_estacion</t>
        </is>
      </c>
      <c r="D358" s="33" t="inlineStr">
        <is>
          <t>stop id MTR / code HKO</t>
        </is>
      </c>
      <c r="E358" s="33" t="inlineStr">
        <is>
          <t>Código de la estación (MTR de 3 letras u HKO).</t>
        </is>
      </c>
      <c r="F358" s="33" t="inlineStr">
        <is>
          <t>Texto</t>
        </is>
      </c>
      <c r="G358" s="33" t="inlineStr">
        <is>
          <t>—</t>
        </is>
      </c>
      <c r="H358" s="33" t="inlineStr">
        <is>
          <t>HKO</t>
        </is>
      </c>
      <c r="I358" s="33" t="inlineStr">
        <is>
          <t>No</t>
        </is>
      </c>
      <c r="J358" s="33" t="inlineStr">
        <is>
          <t>84 valores distintos</t>
        </is>
      </c>
      <c r="K358" s="33" t="inlineStr">
        <is>
          <t>Pública</t>
        </is>
      </c>
      <c r="L358" s="33" t="inlineStr">
        <is>
          <t>Renombrado.</t>
        </is>
      </c>
      <c r="M358" s="33" t="inlineStr">
        <is>
          <t>¿Qué estación es?</t>
        </is>
      </c>
    </row>
    <row r="359" ht="15.75" customHeight="1" s="24">
      <c r="A359" s="33" t="inlineStr">
        <is>
          <t>F27</t>
        </is>
      </c>
      <c r="B359" s="33" t="inlineStr">
        <is>
          <t>public/data/sensores.json</t>
        </is>
      </c>
      <c r="C359" s="33" t="inlineStr">
        <is>
          <t>estaciones_meteorologicas[].tipo</t>
        </is>
      </c>
      <c r="D359" s="33" t="inlineStr">
        <is>
          <t>type / station_type</t>
        </is>
      </c>
      <c r="E359" s="33" t="inlineStr">
        <is>
          <t>Tipo de estación de monitoreo.</t>
        </is>
      </c>
      <c r="F359" s="33" t="inlineStr">
        <is>
          <t>Texto</t>
        </is>
      </c>
      <c r="G359" s="33" t="inlineStr">
        <is>
          <t>—</t>
        </is>
      </c>
      <c r="H359" s="33" t="inlineStr">
        <is>
          <t>tripulada</t>
        </is>
      </c>
      <c r="I359" s="33" t="inlineStr">
        <is>
          <t>No</t>
        </is>
      </c>
      <c r="J359" s="33" t="inlineStr">
        <is>
          <t>automatica; boya; mareografo; pluviometro; tripulada; viento</t>
        </is>
      </c>
      <c r="K359" s="33" t="inlineStr">
        <is>
          <t>Pública</t>
        </is>
      </c>
      <c r="L359" s="33" t="inlineStr">
        <is>
          <t>Traducido al español (tripulada, automática, boya, viento, pluviómetro, mareógrafo; general, borde de vía).</t>
        </is>
      </c>
      <c r="M359" s="33" t="inlineStr">
        <is>
          <t>¿Qué mide o qué tipo de estación es?</t>
        </is>
      </c>
    </row>
    <row r="360" ht="15.75" customHeight="1" s="24">
      <c r="A360" s="33" t="inlineStr">
        <is>
          <t>F25, F26, F27, F19</t>
        </is>
      </c>
      <c r="B360" s="33" t="inlineStr">
        <is>
          <t>public/data/sensores.json</t>
        </is>
      </c>
      <c r="C360" s="33" t="inlineStr">
        <is>
          <t>estaciones_meteorologicas[].lat</t>
        </is>
      </c>
      <c r="D360" s="33" t="inlineStr">
        <is>
          <t>location.lat / Latitude / lat</t>
        </is>
      </c>
      <c r="E360" s="33" t="inlineStr">
        <is>
          <t>Latitud del punto.</t>
        </is>
      </c>
      <c r="F360" s="33" t="inlineStr">
        <is>
          <t>Decimal</t>
        </is>
      </c>
      <c r="G360" s="33" t="inlineStr">
        <is>
          <t>grados decimales (WGS84)</t>
        </is>
      </c>
      <c r="H360" s="33" t="inlineStr">
        <is>
          <t>22.301944</t>
        </is>
      </c>
      <c r="I360" s="33" t="inlineStr">
        <is>
          <t>No</t>
        </is>
      </c>
      <c r="J360" s="33" t="inlineStr">
        <is>
          <t>22,18 a 22,55</t>
        </is>
      </c>
      <c r="K360" s="33" t="inlineStr">
        <is>
          <t>Pública</t>
        </is>
      </c>
      <c r="L360" s="33" t="inlineStr">
        <is>
          <t>En estaciones HKO se convirtió de grados-minutos-segundos a decimal.</t>
        </is>
      </c>
      <c r="M360" s="33" t="inlineStr">
        <is>
          <t>¿Dónde está ubicado en el mapa?</t>
        </is>
      </c>
    </row>
    <row r="361" ht="15.75" customHeight="1" s="24">
      <c r="A361" s="33" t="inlineStr">
        <is>
          <t>F25, F26, F27, F19</t>
        </is>
      </c>
      <c r="B361" s="33" t="inlineStr">
        <is>
          <t>public/data/sensores.json</t>
        </is>
      </c>
      <c r="C361" s="33" t="inlineStr">
        <is>
          <t>estaciones_meteorologicas[].lon</t>
        </is>
      </c>
      <c r="D361" s="33" t="inlineStr">
        <is>
          <t>location.lng / Longitude / long</t>
        </is>
      </c>
      <c r="E361" s="33" t="inlineStr">
        <is>
          <t>Longitud del punto.</t>
        </is>
      </c>
      <c r="F361" s="33" t="inlineStr">
        <is>
          <t>Decimal</t>
        </is>
      </c>
      <c r="G361" s="33" t="inlineStr">
        <is>
          <t>grados decimales (WGS84)</t>
        </is>
      </c>
      <c r="H361" s="33" t="inlineStr">
        <is>
          <t>114.174167</t>
        </is>
      </c>
      <c r="I361" s="33" t="inlineStr">
        <is>
          <t>No</t>
        </is>
      </c>
      <c r="J361" s="33" t="inlineStr">
        <is>
          <t>113,9 a 114,4</t>
        </is>
      </c>
      <c r="K361" s="33" t="inlineStr">
        <is>
          <t>Pública</t>
        </is>
      </c>
      <c r="L361" s="33" t="inlineStr">
        <is>
          <t>En estaciones HKO se convirtió de grados-minutos-segundos a decimal.</t>
        </is>
      </c>
      <c r="M361" s="33" t="inlineStr">
        <is>
          <t>¿Dónde está ubicado en el mapa?</t>
        </is>
      </c>
    </row>
    <row r="362" ht="15.75" customHeight="1" s="24">
      <c r="A362" s="33" t="inlineStr">
        <is>
          <t>F25</t>
        </is>
      </c>
      <c r="B362" s="33" t="inlineStr">
        <is>
          <t>public/data/sensores.json</t>
        </is>
      </c>
      <c r="C362" s="33" t="inlineStr">
        <is>
          <t>estaciones_meteorologicas[].elevacion_m</t>
        </is>
      </c>
      <c r="D362" s="33" t="inlineStr">
        <is>
          <t>Elevation (m)</t>
        </is>
      </c>
      <c r="E362" s="33" t="inlineStr">
        <is>
          <t>Altura de la estación sobre el nivel medio del mar.</t>
        </is>
      </c>
      <c r="F362" s="33" t="inlineStr">
        <is>
          <t>Decimal</t>
        </is>
      </c>
      <c r="G362" s="33" t="inlineStr">
        <is>
          <t>metros</t>
        </is>
      </c>
      <c r="H362" s="33" t="inlineStr">
        <is>
          <t>32.0</t>
        </is>
      </c>
      <c r="I362" s="33" t="inlineStr">
        <is>
          <t>Sí</t>
        </is>
      </c>
      <c r="J362" s="33" t="inlineStr">
        <is>
          <t>3 a 955</t>
        </is>
      </c>
      <c r="K362" s="33" t="inlineStr">
        <is>
          <t>Pública</t>
        </is>
      </c>
      <c r="L362" s="33" t="inlineStr">
        <is>
          <t>Copiado; vacío en mareógrafos.</t>
        </is>
      </c>
      <c r="M362" s="33" t="inlineStr">
        <is>
          <t>¿A qué altura mide la estación? (Wiki 6.1)</t>
        </is>
      </c>
    </row>
    <row r="363" ht="15.75" customHeight="1" s="24">
      <c r="A363" s="33" t="inlineStr">
        <is>
          <t>F25</t>
        </is>
      </c>
      <c r="B363" s="33" t="inlineStr">
        <is>
          <t>public/data/sensores.json</t>
        </is>
      </c>
      <c r="C363" s="33" t="inlineStr">
        <is>
          <t>estaciones_meteorologicas[].inicio_operacion</t>
        </is>
      </c>
      <c r="D363" s="33" t="inlineStr">
        <is>
          <t>First operation</t>
        </is>
      </c>
      <c r="E363" s="33" t="inlineStr">
        <is>
          <t>Fecha de inicio de operación de la estación.</t>
        </is>
      </c>
      <c r="F363" s="33" t="inlineStr">
        <is>
          <t>Texto</t>
        </is>
      </c>
      <c r="G363" s="33" t="inlineStr">
        <is>
          <t>fecha (DD/MM/AAAA)</t>
        </is>
      </c>
      <c r="H363" s="33" t="inlineStr">
        <is>
          <t>01/01/1884</t>
        </is>
      </c>
      <c r="I363" s="33" t="inlineStr">
        <is>
          <t>No</t>
        </is>
      </c>
      <c r="J363" s="33" t="inlineStr">
        <is>
          <t>75 valores distintos</t>
        </is>
      </c>
      <c r="K363" s="33" t="inlineStr">
        <is>
          <t>Pública</t>
        </is>
      </c>
      <c r="L363" s="33" t="inlineStr">
        <is>
          <t>Copiado como texto.</t>
        </is>
      </c>
      <c r="M363" s="33" t="inlineStr">
        <is>
          <t>¿Desde cuándo hay datos de la estación?</t>
        </is>
      </c>
    </row>
    <row r="364" ht="15.75" customHeight="1" s="24">
      <c r="A364" s="33" t="inlineStr">
        <is>
          <t>F19</t>
        </is>
      </c>
      <c r="B364" s="33" t="inlineStr">
        <is>
          <t>public/data/sensores.json</t>
        </is>
      </c>
      <c r="C364" s="33" t="inlineStr">
        <is>
          <t>estaciones_meteorologicas[].codigo_dcca</t>
        </is>
      </c>
      <c r="D364" s="33" t="inlineStr">
        <is>
          <t>CACODE</t>
        </is>
      </c>
      <c r="E364" s="33" t="inlineStr">
        <is>
          <t>Código de la circunscripción del Consejo de Distrito (DCCA 2019).</t>
        </is>
      </c>
      <c r="F364" s="33" t="inlineStr">
        <is>
          <t>Texto</t>
        </is>
      </c>
      <c r="G364" s="33" t="inlineStr">
        <is>
          <t>—</t>
        </is>
      </c>
      <c r="H364" s="33" t="inlineStr">
        <is>
          <t>E20</t>
        </is>
      </c>
      <c r="I364" s="33" t="inlineStr">
        <is>
          <t>No</t>
        </is>
      </c>
      <c r="J364" s="33" t="inlineStr">
        <is>
          <t>53 valores distintos</t>
        </is>
      </c>
      <c r="K364" s="33" t="inlineStr">
        <is>
          <t>Pública</t>
        </is>
      </c>
      <c r="L364" s="33" t="inlineStr">
        <is>
          <t>Renombrado; para puntos se asigna por unión espacial punto-en-polígono (o polígono más cercano ≤1 km).</t>
        </is>
      </c>
      <c r="M364" s="33" t="inlineStr">
        <is>
          <t>¿En qué circunscripción cae este punto o zona?</t>
        </is>
      </c>
    </row>
    <row r="365" ht="15.75" customHeight="1" s="24">
      <c r="A365" s="33" t="inlineStr">
        <is>
          <t>F19</t>
        </is>
      </c>
      <c r="B365" s="33" t="inlineStr">
        <is>
          <t>public/data/sensores.json</t>
        </is>
      </c>
      <c r="C365" s="33" t="inlineStr">
        <is>
          <t>estaciones_meteorologicas[].codigo</t>
        </is>
      </c>
      <c r="D365" s="33" t="inlineStr">
        <is>
          <t>dc_class / 1ª letra de CACODE</t>
        </is>
      </c>
      <c r="E365" s="33" t="inlineStr">
        <is>
          <t>Código de letra del distrito (A–T) usado por el censo y la EAC.</t>
        </is>
      </c>
      <c r="F365" s="33" t="inlineStr">
        <is>
          <t>Texto</t>
        </is>
      </c>
      <c r="G365" s="33" t="inlineStr">
        <is>
          <t>—</t>
        </is>
      </c>
      <c r="H365" s="33" t="inlineStr">
        <is>
          <t>E</t>
        </is>
      </c>
      <c r="I365" s="33" t="inlineStr">
        <is>
          <t>No</t>
        </is>
      </c>
      <c r="J365" s="33" t="inlineStr">
        <is>
          <t>18 valores distintos</t>
        </is>
      </c>
      <c r="K365" s="33" t="inlineStr">
        <is>
          <t>Pública</t>
        </is>
      </c>
      <c r="L365" s="33" t="inlineStr">
        <is>
          <t>Derivado de la primera letra del código DCCA; se usa como llave de unión entre todas las tablas.</t>
        </is>
      </c>
      <c r="M365" s="33" t="inlineStr">
        <is>
          <t>¿A qué distrito pertenece este registro?</t>
        </is>
      </c>
    </row>
    <row r="366" ht="15.75" customHeight="1" s="24">
      <c r="A366" s="33" t="inlineStr">
        <is>
          <t>F24</t>
        </is>
      </c>
      <c r="B366" s="33" t="inlineStr">
        <is>
          <t>public/data/sensores.json</t>
        </is>
      </c>
      <c r="C366" s="33" t="inlineStr">
        <is>
          <t>estaciones_meteorologicas[].ubicacion_en_tierra</t>
        </is>
      </c>
      <c r="D366" s="33" t="inlineStr">
        <is>
          <t>(calculado)</t>
        </is>
      </c>
      <c r="E366" s="33" t="inlineStr">
        <is>
          <t>Indica si el punto cae dentro de un polígono DCCA (Verdadero) o se asignó al más cercano (Falso).</t>
        </is>
      </c>
      <c r="F366" s="33" t="inlineStr">
        <is>
          <t>Booleano</t>
        </is>
      </c>
      <c r="G366" s="33" t="inlineStr">
        <is>
          <t>booleano</t>
        </is>
      </c>
      <c r="H366" s="33" t="inlineStr">
        <is>
          <t>True</t>
        </is>
      </c>
      <c r="I366" s="33" t="inlineStr">
        <is>
          <t>No</t>
        </is>
      </c>
      <c r="J366" s="33" t="inlineStr">
        <is>
          <t>true / false</t>
        </is>
      </c>
      <c r="K366" s="33" t="inlineStr">
        <is>
          <t>Pública</t>
        </is>
      </c>
      <c r="L366" s="33" t="inlineStr">
        <is>
          <t>Unión espacial: distancia 0 = dentro; &gt;0 y ≤1 km = asignado al más cercano.</t>
        </is>
      </c>
      <c r="M366" s="33" t="inlineStr">
        <is>
          <t>¿Es confiable la asignación territorial del punto?</t>
        </is>
      </c>
    </row>
    <row r="367" ht="15.75" customHeight="1" s="24">
      <c r="A367" s="33" t="inlineStr">
        <is>
          <t>F27</t>
        </is>
      </c>
      <c r="B367" s="33" t="inlineStr">
        <is>
          <t>public/data/sensores.json</t>
        </is>
      </c>
      <c r="C367" s="33" t="inlineStr">
        <is>
          <t>calidad_aire[].estacion</t>
        </is>
      </c>
      <c r="D367" s="33" t="inlineStr">
        <is>
          <t>Station / station_name</t>
        </is>
      </c>
      <c r="E367" s="33" t="inlineStr">
        <is>
          <t>Nombre de la estación de monitoreo.</t>
        </is>
      </c>
      <c r="F367" s="33" t="inlineStr">
        <is>
          <t>Texto</t>
        </is>
      </c>
      <c r="G367" s="33" t="inlineStr">
        <is>
          <t>—</t>
        </is>
      </c>
      <c r="H367" s="33" t="inlineStr">
        <is>
          <t>Central/Western</t>
        </is>
      </c>
      <c r="I367" s="33" t="inlineStr">
        <is>
          <t>No</t>
        </is>
      </c>
      <c r="J367" s="33" t="inlineStr">
        <is>
          <t>18 valores distintos</t>
        </is>
      </c>
      <c r="K367" s="33" t="inlineStr">
        <is>
          <t>Pública</t>
        </is>
      </c>
      <c r="L367" s="33" t="inlineStr">
        <is>
          <t>Renombrado.</t>
        </is>
      </c>
      <c r="M367" s="33" t="inlineStr">
        <is>
          <t>¿Qué estación es?</t>
        </is>
      </c>
    </row>
    <row r="368" ht="15.75" customHeight="1" s="24">
      <c r="A368" s="33" t="inlineStr">
        <is>
          <t>F27</t>
        </is>
      </c>
      <c r="B368" s="33" t="inlineStr">
        <is>
          <t>public/data/sensores.json</t>
        </is>
      </c>
      <c r="C368" s="33" t="inlineStr">
        <is>
          <t>calidad_aire[].tipo</t>
        </is>
      </c>
      <c r="D368" s="33" t="inlineStr">
        <is>
          <t>type / station_type</t>
        </is>
      </c>
      <c r="E368" s="33" t="inlineStr">
        <is>
          <t>Tipo de estación de monitoreo.</t>
        </is>
      </c>
      <c r="F368" s="33" t="inlineStr">
        <is>
          <t>Texto</t>
        </is>
      </c>
      <c r="G368" s="33" t="inlineStr">
        <is>
          <t>—</t>
        </is>
      </c>
      <c r="H368" s="33" t="inlineStr">
        <is>
          <t>general</t>
        </is>
      </c>
      <c r="I368" s="33" t="inlineStr">
        <is>
          <t>No</t>
        </is>
      </c>
      <c r="J368" s="33" t="inlineStr">
        <is>
          <t>borde_de_via; general</t>
        </is>
      </c>
      <c r="K368" s="33" t="inlineStr">
        <is>
          <t>Pública</t>
        </is>
      </c>
      <c r="L368" s="33" t="inlineStr">
        <is>
          <t>Traducido al español (tripulada, automática, boya, viento, pluviómetro, mareógrafo; general, borde de vía).</t>
        </is>
      </c>
      <c r="M368" s="33" t="inlineStr">
        <is>
          <t>¿Qué mide o qué tipo de estación es?</t>
        </is>
      </c>
    </row>
    <row r="369" ht="15.75" customHeight="1" s="24">
      <c r="A369" s="33" t="inlineStr">
        <is>
          <t>F27</t>
        </is>
      </c>
      <c r="B369" s="33" t="inlineStr">
        <is>
          <t>public/data/sensores.json</t>
        </is>
      </c>
      <c r="C369" s="33" t="inlineStr">
        <is>
          <t>calidad_aire[].aqhi</t>
        </is>
      </c>
      <c r="D369" s="33" t="inlineStr">
        <is>
          <t>AQHI</t>
        </is>
      </c>
      <c r="E369" s="33" t="inlineStr">
        <is>
          <t>Índice de Salud de la Calidad del Aire de la estación en la hora publicada.</t>
        </is>
      </c>
      <c r="F369" s="33" t="inlineStr">
        <is>
          <t>Entero</t>
        </is>
      </c>
      <c r="G369" s="33" t="inlineStr">
        <is>
          <t>índice 1–10+</t>
        </is>
      </c>
      <c r="H369" s="33" t="inlineStr">
        <is>
          <t>2</t>
        </is>
      </c>
      <c r="I369" s="33" t="inlineStr">
        <is>
          <t>No</t>
        </is>
      </c>
      <c r="J369" s="33" t="inlineStr">
        <is>
          <t>2 a 3</t>
        </is>
      </c>
      <c r="K369" s="33" t="inlineStr">
        <is>
          <t>Pública</t>
        </is>
      </c>
      <c r="L369" s="33" t="inlineStr">
        <is>
          <t>Convertido a entero.</t>
        </is>
      </c>
      <c r="M369" s="33" t="inlineStr">
        <is>
          <t>¿Cómo está el aire ahora por zona? (Wiki 6, ambiente)</t>
        </is>
      </c>
    </row>
    <row r="370" ht="15.75" customHeight="1" s="24">
      <c r="A370" s="33" t="inlineStr">
        <is>
          <t>F27</t>
        </is>
      </c>
      <c r="B370" s="33" t="inlineStr">
        <is>
          <t>public/data/sensores.json</t>
        </is>
      </c>
      <c r="C370" s="33" t="inlineStr">
        <is>
          <t>calidad_aire[].riesgo_salud</t>
        </is>
      </c>
      <c r="D370" s="33" t="inlineStr">
        <is>
          <t>Health Risk</t>
        </is>
      </c>
      <c r="E370" s="33" t="inlineStr">
        <is>
          <t>Categoría de riesgo para la salud asociada al AQHI.</t>
        </is>
      </c>
      <c r="F370" s="33" t="inlineStr">
        <is>
          <t>Texto</t>
        </is>
      </c>
      <c r="G370" s="33" t="inlineStr">
        <is>
          <t>—</t>
        </is>
      </c>
      <c r="H370" s="33" t="inlineStr">
        <is>
          <t>Low</t>
        </is>
      </c>
      <c r="I370" s="33" t="inlineStr">
        <is>
          <t>No</t>
        </is>
      </c>
      <c r="J370" s="33" t="inlineStr">
        <is>
          <t>Low</t>
        </is>
      </c>
      <c r="K370" s="33" t="inlineStr">
        <is>
          <t>Pública</t>
        </is>
      </c>
      <c r="L370" s="33" t="inlineStr">
        <is>
          <t>Copiado (Low, Moderate, High, Very High, Serious).</t>
        </is>
      </c>
      <c r="M370" s="33" t="inlineStr">
        <is>
          <t>¿Hay riesgo para la salud por contaminación?</t>
        </is>
      </c>
    </row>
    <row r="371" ht="15.75" customHeight="1" s="24">
      <c r="A371" s="33" t="inlineStr">
        <is>
          <t>F27</t>
        </is>
      </c>
      <c r="B371" s="33" t="inlineStr">
        <is>
          <t>public/data/sensores.json</t>
        </is>
      </c>
      <c r="C371" s="33" t="inlineStr">
        <is>
          <t>calidad_aire[].publicado_hkt</t>
        </is>
      </c>
      <c r="D371" s="33" t="inlineStr">
        <is>
          <t>pubDate</t>
        </is>
      </c>
      <c r="E371" s="33" t="inlineStr">
        <is>
          <t>Fecha y hora de publicación del dato AQHI.</t>
        </is>
      </c>
      <c r="F371" s="33" t="inlineStr">
        <is>
          <t>Fecha</t>
        </is>
      </c>
      <c r="G371" s="33" t="inlineStr">
        <is>
          <t>fecha-hora ISO 8601 (+08:00)</t>
        </is>
      </c>
      <c r="H371" s="33" t="inlineStr">
        <is>
          <t>2026-10-06T07:30:00+08:00</t>
        </is>
      </c>
      <c r="I371" s="33" t="inlineStr">
        <is>
          <t>No</t>
        </is>
      </c>
      <c r="J371" s="33" t="inlineStr">
        <is>
          <t>2026-10-06T07:30:00+08:00</t>
        </is>
      </c>
      <c r="K371" s="33" t="inlineStr">
        <is>
          <t>Pública</t>
        </is>
      </c>
      <c r="L371" s="33" t="inlineStr">
        <is>
          <t>Convertido a ISO 8601 con zona horaria de HK.</t>
        </is>
      </c>
      <c r="M371" s="33" t="inlineStr">
        <is>
          <t>¿Qué tan reciente es la lectura?</t>
        </is>
      </c>
    </row>
    <row r="372" ht="15.75" customHeight="1" s="24">
      <c r="A372" s="33" t="inlineStr">
        <is>
          <t>F19</t>
        </is>
      </c>
      <c r="B372" s="33" t="inlineStr">
        <is>
          <t>public/data/sensores.json</t>
        </is>
      </c>
      <c r="C372" s="33" t="inlineStr">
        <is>
          <t>calidad_aire[].codigo</t>
        </is>
      </c>
      <c r="D372" s="33" t="inlineStr">
        <is>
          <t>dc_class / 1ª letra de CACODE</t>
        </is>
      </c>
      <c r="E372" s="33" t="inlineStr">
        <is>
          <t>Código de letra del distrito (A–T) usado por el censo y la EAC.</t>
        </is>
      </c>
      <c r="F372" s="33" t="inlineStr">
        <is>
          <t>Texto</t>
        </is>
      </c>
      <c r="G372" s="33" t="inlineStr">
        <is>
          <t>—</t>
        </is>
      </c>
      <c r="H372" s="33" t="inlineStr">
        <is>
          <t>A</t>
        </is>
      </c>
      <c r="I372" s="33" t="inlineStr">
        <is>
          <t>No</t>
        </is>
      </c>
      <c r="J372" s="33" t="inlineStr">
        <is>
          <t>16 valores distintos</t>
        </is>
      </c>
      <c r="K372" s="33" t="inlineStr">
        <is>
          <t>Pública</t>
        </is>
      </c>
      <c r="L372" s="33" t="inlineStr">
        <is>
          <t>Derivado de la primera letra del código DCCA; se usa como llave de unión entre todas las tablas.</t>
        </is>
      </c>
      <c r="M372" s="33" t="inlineStr">
        <is>
          <t>¿A qué distrito pertenece este registro?</t>
        </is>
      </c>
    </row>
    <row r="373" ht="15.75" customHeight="1" s="24">
      <c r="A373" s="33" t="inlineStr">
        <is>
          <t>F27</t>
        </is>
      </c>
      <c r="B373" s="33" t="inlineStr">
        <is>
          <t>public/data/sensores.json</t>
        </is>
      </c>
      <c r="C373" s="33" t="inlineStr">
        <is>
          <t>calidad_aire[].ubicacion</t>
        </is>
      </c>
      <c r="D373" s="33" t="inlineStr">
        <is>
          <t>(no existe en la fuente)</t>
        </is>
      </c>
      <c r="E373" s="33" t="inlineStr">
        <is>
          <t>Cómo se ubicó la estación en el territorio.</t>
        </is>
      </c>
      <c r="F373" s="33" t="inlineStr">
        <is>
          <t>Texto</t>
        </is>
      </c>
      <c r="G373" s="33" t="inlineStr">
        <is>
          <t>—</t>
        </is>
      </c>
      <c r="H373" s="33" t="inlineStr">
        <is>
          <t>asignada al distrito (sin coordenada exacta)</t>
        </is>
      </c>
      <c r="I373" s="33" t="inlineStr">
        <is>
          <t>No</t>
        </is>
      </c>
      <c r="J373" s="33" t="inlineStr">
        <is>
          <t>asignada al distrito (sin coordenada exacta)</t>
        </is>
      </c>
      <c r="K373" s="33" t="inlineStr">
        <is>
          <t>Pública</t>
        </is>
      </c>
      <c r="L373" s="33" t="inlineStr">
        <is>
          <t>Constante: asignada al distrito por nombre, sin coordenada.</t>
        </is>
      </c>
      <c r="M373" s="33" t="inlineStr">
        <is>
          <t>¿Se puede ubicar la estación con precisión?</t>
        </is>
      </c>
    </row>
    <row r="374" ht="15.75" customHeight="1" s="24">
      <c r="A374" s="33" t="inlineStr">
        <is>
          <t>F19</t>
        </is>
      </c>
      <c r="B374" s="33" t="inlineStr">
        <is>
          <t>public/data/sensores.json</t>
        </is>
      </c>
      <c r="C374" s="33" t="inlineStr">
        <is>
          <t>distritos[].codigo</t>
        </is>
      </c>
      <c r="D374" s="33" t="inlineStr">
        <is>
          <t>dc_class / 1ª letra de CACODE</t>
        </is>
      </c>
      <c r="E374" s="33" t="inlineStr">
        <is>
          <t>Código de letra del distrito (A–T) usado por el censo y la EAC.</t>
        </is>
      </c>
      <c r="F374" s="33" t="inlineStr">
        <is>
          <t>Texto</t>
        </is>
      </c>
      <c r="G374" s="33" t="inlineStr">
        <is>
          <t>—</t>
        </is>
      </c>
      <c r="H374" s="33" t="inlineStr">
        <is>
          <t>A</t>
        </is>
      </c>
      <c r="I374" s="33" t="inlineStr">
        <is>
          <t>No</t>
        </is>
      </c>
      <c r="J374" s="33" t="inlineStr">
        <is>
          <t>18 valores distintos</t>
        </is>
      </c>
      <c r="K374" s="33" t="inlineStr">
        <is>
          <t>Pública</t>
        </is>
      </c>
      <c r="L374" s="33" t="inlineStr">
        <is>
          <t>Derivado de la primera letra del código DCCA; se usa como llave de unión entre todas las tablas.</t>
        </is>
      </c>
      <c r="M374" s="33" t="inlineStr">
        <is>
          <t>¿A qué distrito pertenece este registro?</t>
        </is>
      </c>
    </row>
    <row r="375" ht="15.75" customHeight="1" s="24">
      <c r="A375" s="33" t="inlineStr">
        <is>
          <t>F19</t>
        </is>
      </c>
      <c r="B375" s="33" t="inlineStr">
        <is>
          <t>public/data/sensores.json</t>
        </is>
      </c>
      <c r="C375" s="33" t="inlineStr">
        <is>
          <t>distritos[].distrito_en</t>
        </is>
      </c>
      <c r="D375" s="33" t="inlineStr">
        <is>
          <t>dc_eng</t>
        </is>
      </c>
      <c r="E375" s="33" t="inlineStr">
        <is>
          <t>Nombre oficial del distrito en inglés.</t>
        </is>
      </c>
      <c r="F375" s="33" t="inlineStr">
        <is>
          <t>Texto</t>
        </is>
      </c>
      <c r="G375" s="33" t="inlineStr">
        <is>
          <t>—</t>
        </is>
      </c>
      <c r="H375" s="33" t="inlineStr">
        <is>
          <t>Central and Western</t>
        </is>
      </c>
      <c r="I375" s="33" t="inlineStr">
        <is>
          <t>No</t>
        </is>
      </c>
      <c r="J375" s="33" t="inlineStr">
        <is>
          <t>18 valores distintos</t>
        </is>
      </c>
      <c r="K375" s="33" t="inlineStr">
        <is>
          <t>Pública</t>
        </is>
      </c>
      <c r="L375" s="33" t="inlineStr">
        <is>
          <t>Estandarizado contra la tabla maestra de 18 distritos.</t>
        </is>
      </c>
      <c r="M375" s="33" t="inlineStr">
        <is>
          <t>¿Cómo se llama el distrito?</t>
        </is>
      </c>
    </row>
    <row r="376" ht="15.75" customHeight="1" s="24">
      <c r="A376" s="33" t="inlineStr">
        <is>
          <t>F22</t>
        </is>
      </c>
      <c r="B376" s="33" t="inlineStr">
        <is>
          <t>public/data/sensores.json</t>
        </is>
      </c>
      <c r="C376" s="33" t="inlineStr">
        <is>
          <t>distritos[].distrito_zh</t>
        </is>
      </c>
      <c r="D376" s="33" t="inlineStr">
        <is>
          <t>District (中文)</t>
        </is>
      </c>
      <c r="E376" s="33" t="inlineStr">
        <is>
          <t>Nombre del distrito en chino tradicional.</t>
        </is>
      </c>
      <c r="F376" s="33" t="inlineStr">
        <is>
          <t>Texto</t>
        </is>
      </c>
      <c r="G376" s="33" t="inlineStr">
        <is>
          <t>—</t>
        </is>
      </c>
      <c r="H376" s="33" t="inlineStr">
        <is>
          <t>中西區</t>
        </is>
      </c>
      <c r="I376" s="33" t="inlineStr">
        <is>
          <t>No</t>
        </is>
      </c>
      <c r="J376" s="33" t="inlineStr">
        <is>
          <t>18 valores distintos</t>
        </is>
      </c>
      <c r="K376" s="33" t="inlineStr">
        <is>
          <t>Pública</t>
        </is>
      </c>
      <c r="L376" s="33" t="inlineStr">
        <is>
          <t>Copiado de curated/geo/distritos.csv (unión por codigo). Origen: Tomado de la tabla de Wikipedia y unido por nombre inglés.</t>
        </is>
      </c>
      <c r="M376" s="33" t="inlineStr">
        <is>
          <t>¿Cómo se llama el distrito en chino?</t>
        </is>
      </c>
    </row>
    <row r="377" ht="15.75" customHeight="1" s="24">
      <c r="A377" s="33" t="inlineStr">
        <is>
          <t>F19</t>
        </is>
      </c>
      <c r="B377" s="33" t="inlineStr">
        <is>
          <t>public/data/sensores.json</t>
        </is>
      </c>
      <c r="C377" s="33" t="inlineStr">
        <is>
          <t>distritos[].distrito_es</t>
        </is>
      </c>
      <c r="D377" s="33" t="inlineStr">
        <is>
          <t>(no existe en la fuente)</t>
        </is>
      </c>
      <c r="E377" s="33" t="inlineStr">
        <is>
          <t>Nombre del distrito en español para la interfaz.</t>
        </is>
      </c>
      <c r="F377" s="33" t="inlineStr">
        <is>
          <t>Texto</t>
        </is>
      </c>
      <c r="G377" s="33" t="inlineStr">
        <is>
          <t>—</t>
        </is>
      </c>
      <c r="H377" s="33" t="inlineStr">
        <is>
          <t>Centro y Oeste</t>
        </is>
      </c>
      <c r="I377" s="33" t="inlineStr">
        <is>
          <t>No</t>
        </is>
      </c>
      <c r="J377" s="33" t="inlineStr">
        <is>
          <t>18 valores distintos</t>
        </is>
      </c>
      <c r="K377" s="33" t="inlineStr">
        <is>
          <t>Pública</t>
        </is>
      </c>
      <c r="L377" s="33" t="inlineStr">
        <is>
          <t>Traducción propia del nombre inglés.</t>
        </is>
      </c>
      <c r="M377" s="33" t="inlineStr">
        <is>
          <t>¿Cómo mostrar el distrito al usuario?</t>
        </is>
      </c>
    </row>
    <row r="378" ht="15.75" customHeight="1" s="24">
      <c r="A378" s="33" t="inlineStr">
        <is>
          <t>F19</t>
        </is>
      </c>
      <c r="B378" s="33" t="inlineStr">
        <is>
          <t>public/data/sensores.json</t>
        </is>
      </c>
      <c r="C378" s="33" t="inlineStr">
        <is>
          <t>distritos[].region</t>
        </is>
      </c>
      <c r="D378" s="33" t="inlineStr">
        <is>
          <t>(no existe en la fuente)</t>
        </is>
      </c>
      <c r="E378" s="33" t="inlineStr">
        <is>
          <t>Gran región a la que pertenece el distrito (Isla de HK, Kowloon o Nuevos Territorios).</t>
        </is>
      </c>
      <c r="F378" s="33" t="inlineStr">
        <is>
          <t>Texto</t>
        </is>
      </c>
      <c r="G378" s="33" t="inlineStr">
        <is>
          <t>—</t>
        </is>
      </c>
      <c r="H378" s="33" t="inlineStr">
        <is>
          <t>Isla de Hong Kong</t>
        </is>
      </c>
      <c r="I378" s="33" t="inlineStr">
        <is>
          <t>No</t>
        </is>
      </c>
      <c r="J378" s="33" t="inlineStr">
        <is>
          <t>Isla de Hong Kong; Kowloon; Nuevos Territorios</t>
        </is>
      </c>
      <c r="K378" s="33" t="inlineStr">
        <is>
          <t>Pública</t>
        </is>
      </c>
      <c r="L378" s="33" t="inlineStr">
        <is>
          <t>Asignada por tabla maestra según la división administrativa oficial; traducida al español.</t>
        </is>
      </c>
      <c r="M378" s="33" t="inlineStr">
        <is>
          <t>¿Cómo se reparte la población entre las tres regiones? (Wiki 1.2)</t>
        </is>
      </c>
    </row>
    <row r="379" ht="15.75" customHeight="1" s="24">
      <c r="A379" s="33" t="inlineStr">
        <is>
          <t>F25, F27</t>
        </is>
      </c>
      <c r="B379" s="33" t="inlineStr">
        <is>
          <t>public/data/sensores.json</t>
        </is>
      </c>
      <c r="C379" s="33" t="inlineStr">
        <is>
          <t>distritos[].estaciones_meteorologicas</t>
        </is>
      </c>
      <c r="D379" s="33" t="inlineStr">
        <is>
          <t>(calculado)</t>
        </is>
      </c>
      <c r="E379" s="33" t="inlineStr">
        <is>
          <t>Estaciones del Observatorio ubicadas en el distrito.</t>
        </is>
      </c>
      <c r="F379" s="33" t="inlineStr">
        <is>
          <t>Entero</t>
        </is>
      </c>
      <c r="G379" s="33" t="inlineStr">
        <is>
          <t>estaciones</t>
        </is>
      </c>
      <c r="H379" s="33" t="inlineStr">
        <is>
          <t>4</t>
        </is>
      </c>
      <c r="I379" s="33" t="inlineStr">
        <is>
          <t>No</t>
        </is>
      </c>
      <c r="J379" s="33" t="inlineStr">
        <is>
          <t>1 a 17</t>
        </is>
      </c>
      <c r="K379" s="33" t="inlineStr">
        <is>
          <t>Pública</t>
        </is>
      </c>
      <c r="L379" s="33" t="inlineStr">
        <is>
          <t>Copiado de curated/sensores/distritos_sensores.csv (unión por codigo). Origen: Conteo tras unión espacial.</t>
        </is>
      </c>
      <c r="M379" s="33" t="inlineStr">
        <is>
          <t>¿Qué tan monitoreado está el clima en cada distrito?</t>
        </is>
      </c>
    </row>
    <row r="380" ht="15.75" customHeight="1" s="24">
      <c r="A380" s="33" t="inlineStr">
        <is>
          <t>F25, F27</t>
        </is>
      </c>
      <c r="B380" s="33" t="inlineStr">
        <is>
          <t>public/data/sensores.json</t>
        </is>
      </c>
      <c r="C380" s="33" t="inlineStr">
        <is>
          <t>distritos[].estaciones_calidad_aire</t>
        </is>
      </c>
      <c r="D380" s="33" t="inlineStr">
        <is>
          <t>(calculado)</t>
        </is>
      </c>
      <c r="E380" s="33" t="inlineStr">
        <is>
          <t>Estaciones de calidad del aire asignadas al distrito.</t>
        </is>
      </c>
      <c r="F380" s="33" t="inlineStr">
        <is>
          <t>Entero</t>
        </is>
      </c>
      <c r="G380" s="33" t="inlineStr">
        <is>
          <t>estaciones</t>
        </is>
      </c>
      <c r="H380" s="33" t="inlineStr">
        <is>
          <t>2</t>
        </is>
      </c>
      <c r="I380" s="33" t="inlineStr">
        <is>
          <t>No</t>
        </is>
      </c>
      <c r="J380" s="33" t="inlineStr">
        <is>
          <t>0 a 2</t>
        </is>
      </c>
      <c r="K380" s="33" t="inlineStr">
        <is>
          <t>Pública</t>
        </is>
      </c>
      <c r="L380" s="33" t="inlineStr">
        <is>
          <t>Copiado de curated/sensores/distritos_sensores.csv (unión por codigo). Origen: Conteo por distrito asignado.</t>
        </is>
      </c>
      <c r="M380" s="33" t="inlineStr">
        <is>
          <t>¿Qué distritos tienen medición de calidad del aire?</t>
        </is>
      </c>
    </row>
    <row r="381" ht="15.75" customHeight="1" s="24">
      <c r="A381" s="33" t="inlineStr">
        <is>
          <t>F25, F27</t>
        </is>
      </c>
      <c r="B381" s="33" t="inlineStr">
        <is>
          <t>public/data/sensores.json</t>
        </is>
      </c>
      <c r="C381" s="33" t="inlineStr">
        <is>
          <t>distritos[].aqhi_ultimo</t>
        </is>
      </c>
      <c r="D381" s="33" t="inlineStr">
        <is>
          <t>(calculado de AQHI)</t>
        </is>
      </c>
      <c r="E381" s="33" t="inlineStr">
        <is>
          <t>AQHI promedio de las estaciones generales del distrito en la última captura.</t>
        </is>
      </c>
      <c r="F381" s="33" t="inlineStr">
        <is>
          <t>Decimal</t>
        </is>
      </c>
      <c r="G381" s="33" t="inlineStr">
        <is>
          <t>índice 1–10+</t>
        </is>
      </c>
      <c r="H381" s="33" t="inlineStr">
        <is>
          <t>2.0</t>
        </is>
      </c>
      <c r="I381" s="33" t="inlineStr">
        <is>
          <t>Sí</t>
        </is>
      </c>
      <c r="J381" s="33" t="inlineStr">
        <is>
          <t>2 a 3</t>
        </is>
      </c>
      <c r="K381" s="33" t="inlineStr">
        <is>
          <t>Pública</t>
        </is>
      </c>
      <c r="L381" s="33" t="inlineStr">
        <is>
          <t>Copiado de curated/sensores/distritos_sensores.csv (unión por codigo). Origen: Promedio de estaciones tipo general; vacío si el distrito no tiene estación.</t>
        </is>
      </c>
      <c r="M381" s="33" t="inlineStr">
        <is>
          <t>¿Qué distritos tienen peor aire ahora?</t>
        </is>
      </c>
    </row>
    <row r="382" ht="15.75" customHeight="1" s="24">
      <c r="A382" s="33" t="inlineStr">
        <is>
          <t>F26, F25</t>
        </is>
      </c>
      <c r="B382" s="33" t="inlineStr">
        <is>
          <t>public/data/sensores.json</t>
        </is>
      </c>
      <c r="C382" s="33" t="inlineStr">
        <is>
          <t>control_calidad_coordenadas[].station_en</t>
        </is>
      </c>
      <c r="D382" s="33" t="inlineStr">
        <is>
          <t>AutomaticWeatherStation_en</t>
        </is>
      </c>
      <c r="E382" s="33" t="inlineStr">
        <is>
          <t>Nombre de la estación en la capa espacial CSDI.</t>
        </is>
      </c>
      <c r="F382" s="33" t="inlineStr">
        <is>
          <t>Texto</t>
        </is>
      </c>
      <c r="G382" s="33" t="inlineStr">
        <is>
          <t>—</t>
        </is>
      </c>
      <c r="H382" s="33" t="inlineStr">
        <is>
          <t>Chek Lap Kok</t>
        </is>
      </c>
      <c r="I382" s="33" t="inlineStr">
        <is>
          <t>No</t>
        </is>
      </c>
      <c r="J382" s="33" t="inlineStr">
        <is>
          <t>26 valores distintos</t>
        </is>
      </c>
      <c r="K382" s="33" t="inlineStr">
        <is>
          <t>Pública</t>
        </is>
      </c>
      <c r="L382" s="33" t="inlineStr">
        <is>
          <t>Copiado.</t>
        </is>
      </c>
      <c r="M382" s="33" t="inlineStr">
        <is>
          <t>¿Coinciden las estaciones de las dos fuentes?</t>
        </is>
      </c>
    </row>
    <row r="383" ht="15.75" customHeight="1" s="24">
      <c r="A383" s="33" t="inlineStr">
        <is>
          <t>F27</t>
        </is>
      </c>
      <c r="B383" s="33" t="inlineStr">
        <is>
          <t>public/data/sensores.json</t>
        </is>
      </c>
      <c r="C383" s="33" t="inlineStr">
        <is>
          <t>control_calidad_coordenadas[].estacion</t>
        </is>
      </c>
      <c r="D383" s="33" t="inlineStr">
        <is>
          <t>Station / station_name</t>
        </is>
      </c>
      <c r="E383" s="33" t="inlineStr">
        <is>
          <t>Nombre de la estación de monitoreo.</t>
        </is>
      </c>
      <c r="F383" s="33" t="inlineStr">
        <is>
          <t>Texto</t>
        </is>
      </c>
      <c r="G383" s="33" t="inlineStr">
        <is>
          <t>—</t>
        </is>
      </c>
      <c r="H383" s="33" t="inlineStr">
        <is>
          <t>Hong Kong International Airport</t>
        </is>
      </c>
      <c r="I383" s="33" t="inlineStr">
        <is>
          <t>No</t>
        </is>
      </c>
      <c r="J383" s="33" t="inlineStr">
        <is>
          <t>26 valores distintos</t>
        </is>
      </c>
      <c r="K383" s="33" t="inlineStr">
        <is>
          <t>Pública</t>
        </is>
      </c>
      <c r="L383" s="33" t="inlineStr">
        <is>
          <t>Renombrado.</t>
        </is>
      </c>
      <c r="M383" s="33" t="inlineStr">
        <is>
          <t>¿Qué estación es?</t>
        </is>
      </c>
    </row>
    <row r="384" ht="15.75" customHeight="1" s="24">
      <c r="A384" s="33" t="inlineStr">
        <is>
          <t>F26, F25</t>
        </is>
      </c>
      <c r="B384" s="33" t="inlineStr">
        <is>
          <t>public/data/sensores.json</t>
        </is>
      </c>
      <c r="C384" s="33" t="inlineStr">
        <is>
          <t>control_calidad_coordenadas[].dist_m</t>
        </is>
      </c>
      <c r="D384" s="33" t="inlineStr">
        <is>
          <t>(calculado)</t>
        </is>
      </c>
      <c r="E384" s="33" t="inlineStr">
        <is>
          <t>Distancia entre la coordenada CSDI y la de la lista HKO para la misma estación.</t>
        </is>
      </c>
      <c r="F384" s="33" t="inlineStr">
        <is>
          <t>Decimal</t>
        </is>
      </c>
      <c r="G384" s="33" t="inlineStr">
        <is>
          <t>metros</t>
        </is>
      </c>
      <c r="H384" s="33" t="inlineStr">
        <is>
          <t>0.1</t>
        </is>
      </c>
      <c r="I384" s="33" t="inlineStr">
        <is>
          <t>No</t>
        </is>
      </c>
      <c r="J384" s="33" t="inlineStr">
        <is>
          <t>0 a 300</t>
        </is>
      </c>
      <c r="K384" s="33" t="inlineStr">
        <is>
          <t>Pública</t>
        </is>
      </c>
      <c r="L384" s="33" t="inlineStr">
        <is>
          <t>Vecino más cercano en EPSG:2326.</t>
        </is>
      </c>
      <c r="M384" s="33" t="inlineStr">
        <is>
          <t>¿Son confiables las coordenadas de las estaciones?</t>
        </is>
      </c>
    </row>
    <row r="385" ht="15.75" customHeight="1" s="24">
      <c r="A385" s="33" t="inlineStr">
        <is>
          <t>F32, F33, F31</t>
        </is>
      </c>
      <c r="B385" s="33" t="inlineStr">
        <is>
          <t>public/data/escucha.json</t>
        </is>
      </c>
      <c r="C385" s="33" t="inlineStr">
        <is>
          <t>meta.generado_utc</t>
        </is>
      </c>
      <c r="D385" s="33" t="inlineStr">
        <is>
          <t>(pipeline)</t>
        </is>
      </c>
      <c r="E385" s="33" t="inlineStr">
        <is>
          <t>Momento en que el pipeline generó el archivo.</t>
        </is>
      </c>
      <c r="F385" s="33" t="inlineStr">
        <is>
          <t>Fecha</t>
        </is>
      </c>
      <c r="G385" s="33" t="inlineStr">
        <is>
          <t>fecha-hora UTC</t>
        </is>
      </c>
      <c r="H385" s="33" t="inlineStr">
        <is>
          <t>2026-10-26T12:25:12Z</t>
        </is>
      </c>
      <c r="I385" s="33" t="inlineStr">
        <is>
          <t>No</t>
        </is>
      </c>
      <c r="J385" s="33" t="inlineStr">
        <is>
          <t>2026-10-26T12:25:12Z</t>
        </is>
      </c>
      <c r="K385" s="33" t="inlineStr">
        <is>
          <t>Pública</t>
        </is>
      </c>
      <c r="L385" s="33" t="inlineStr">
        <is>
          <t>datetime.utcnow() al escribir el archivo.</t>
        </is>
      </c>
      <c r="M385" s="33" t="inlineStr">
        <is>
          <t>¿De cuándo son los datos que veo?</t>
        </is>
      </c>
    </row>
    <row r="386" ht="15.75" customHeight="1" s="24">
      <c r="A386" s="33" t="inlineStr">
        <is>
          <t>F32, F33, F31</t>
        </is>
      </c>
      <c r="B386" s="33" t="inlineStr">
        <is>
          <t>public/data/escucha.json</t>
        </is>
      </c>
      <c r="C386" s="33" t="inlineStr">
        <is>
          <t>meta.ciudad</t>
        </is>
      </c>
      <c r="D386" s="33" t="inlineStr">
        <is>
          <t>(pipeline)</t>
        </is>
      </c>
      <c r="E386" s="33" t="inlineStr">
        <is>
          <t>Ciudad a la que corresponde el archivo.</t>
        </is>
      </c>
      <c r="F386" s="33" t="inlineStr">
        <is>
          <t>Texto</t>
        </is>
      </c>
      <c r="G386" s="33" t="inlineStr">
        <is>
          <t>—</t>
        </is>
      </c>
      <c r="H386" s="33" t="inlineStr">
        <is>
          <t>Hong Kong</t>
        </is>
      </c>
      <c r="I386" s="33" t="inlineStr">
        <is>
          <t>No</t>
        </is>
      </c>
      <c r="J386" s="33" t="inlineStr">
        <is>
          <t>Hong Kong</t>
        </is>
      </c>
      <c r="K386" s="33" t="inlineStr">
        <is>
          <t>Pública</t>
        </is>
      </c>
      <c r="L386" s="33" t="inlineStr">
        <is>
          <t>Constante.</t>
        </is>
      </c>
      <c r="M386" s="33" t="inlineStr">
        <is>
          <t>¿De qué ciudad es el tablero?</t>
        </is>
      </c>
    </row>
    <row r="387" ht="15.75" customHeight="1" s="24">
      <c r="A387" s="33" t="inlineStr">
        <is>
          <t>F32, F33, F31</t>
        </is>
      </c>
      <c r="B387" s="33" t="inlineStr">
        <is>
          <t>public/data/escucha.json</t>
        </is>
      </c>
      <c r="C387" s="33" t="inlineStr">
        <is>
          <t>meta.unidad_territorial</t>
        </is>
      </c>
      <c r="D387" s="33" t="inlineStr">
        <is>
          <t>(pipeline)</t>
        </is>
      </c>
      <c r="E387" s="33" t="inlineStr">
        <is>
          <t>Unidad territorial de las filas del archivo.</t>
        </is>
      </c>
      <c r="F387" s="33" t="inlineStr">
        <is>
          <t>Texto</t>
        </is>
      </c>
      <c r="G387" s="33" t="inlineStr">
        <is>
          <t>—</t>
        </is>
      </c>
      <c r="H387" s="33" t="inlineStr">
        <is>
          <t>18 distritos (District Council districts)</t>
        </is>
      </c>
      <c r="I387" s="33" t="inlineStr">
        <is>
          <t>No</t>
        </is>
      </c>
      <c r="J387" s="33" t="inlineStr">
        <is>
          <t>18 distritos (District Council districts)</t>
        </is>
      </c>
      <c r="K387" s="33" t="inlineStr">
        <is>
          <t>Pública</t>
        </is>
      </c>
      <c r="L387" s="33" t="inlineStr">
        <is>
          <t>Constante.</t>
        </is>
      </c>
      <c r="M387" s="33" t="inlineStr">
        <is>
          <t>¿A qué escala se lee cada cifra?</t>
        </is>
      </c>
    </row>
    <row r="388" ht="15.75" customHeight="1" s="24">
      <c r="A388" s="33" t="inlineStr">
        <is>
          <t>F32, F33, F31</t>
        </is>
      </c>
      <c r="B388" s="33" t="inlineStr">
        <is>
          <t>public/data/escucha.json</t>
        </is>
      </c>
      <c r="C388" s="33" t="inlineStr">
        <is>
          <t>meta.catalogo</t>
        </is>
      </c>
      <c r="D388" s="33" t="inlineStr">
        <is>
          <t>(pipeline)</t>
        </is>
      </c>
      <c r="E388" s="33" t="inlineStr">
        <is>
          <t>Ruta al catálogo de fuentes que documenta el archivo.</t>
        </is>
      </c>
      <c r="F388" s="33" t="inlineStr">
        <is>
          <t>Texto</t>
        </is>
      </c>
      <c r="G388" s="33" t="inlineStr">
        <is>
          <t>—</t>
        </is>
      </c>
      <c r="H388" s="33" t="inlineStr">
        <is>
          <t>catalogo/catalogo.json</t>
        </is>
      </c>
      <c r="I388" s="33" t="inlineStr">
        <is>
          <t>No</t>
        </is>
      </c>
      <c r="J388" s="33" t="inlineStr">
        <is>
          <t>catalogo/catalogo.json</t>
        </is>
      </c>
      <c r="K388" s="33" t="inlineStr">
        <is>
          <t>Pública</t>
        </is>
      </c>
      <c r="L388" s="33" t="inlineStr">
        <is>
          <t>Constante.</t>
        </is>
      </c>
      <c r="M388" s="33" t="inlineStr">
        <is>
          <t>¿Dónde está la procedencia?</t>
        </is>
      </c>
    </row>
    <row r="389" ht="15.75" customHeight="1" s="24">
      <c r="A389" s="33" t="inlineStr">
        <is>
          <t>F31</t>
        </is>
      </c>
      <c r="B389" s="33" t="inlineStr">
        <is>
          <t>public/data/escucha.json</t>
        </is>
      </c>
      <c r="C389" s="33" t="inlineStr">
        <is>
          <t>fuente</t>
        </is>
      </c>
      <c r="D389" s="33" t="inlineStr">
        <is>
          <t>(rotulado / dominio de la URL)</t>
        </is>
      </c>
      <c r="E389" s="33" t="inlineStr">
        <is>
          <t>Organismo o medio de origen del dato.</t>
        </is>
      </c>
      <c r="F389" s="33" t="inlineStr">
        <is>
          <t>Texto</t>
        </is>
      </c>
      <c r="G389" s="33" t="inlineStr">
        <is>
          <t>—</t>
        </is>
      </c>
      <c r="H389" s="33" t="inlineStr">
        <is>
          <t>Búsqueda web de titulares (captura 2026-10-06) · Hong Kong Police Force</t>
        </is>
      </c>
      <c r="I389" s="33" t="inlineStr">
        <is>
          <t>No</t>
        </is>
      </c>
      <c r="J389" s="33" t="inlineStr">
        <is>
          <t>Búsqueda web de titulares (captura 2026-10-06) · Hong Kong Police Force</t>
        </is>
      </c>
      <c r="K389" s="33" t="inlineStr">
        <is>
          <t>Pública</t>
        </is>
      </c>
      <c r="L389" s="33" t="inlineStr">
        <is>
          <t>En noticias se extrae el dominio de la URL con expresión regular.</t>
        </is>
      </c>
      <c r="M389" s="33" t="inlineStr">
        <is>
          <t>¿De dónde viene este dato y qué tan confiable es?</t>
        </is>
      </c>
    </row>
    <row r="390" ht="15.75" customHeight="1" s="24">
      <c r="A390" s="33" t="inlineStr">
        <is>
          <t>F32</t>
        </is>
      </c>
      <c r="B390" s="33" t="inlineStr">
        <is>
          <t>public/data/escucha.json</t>
        </is>
      </c>
      <c r="C390" s="33" t="inlineStr">
        <is>
          <t>noticias[].tema</t>
        </is>
      </c>
      <c r="D390" s="33" t="inlineStr">
        <is>
          <t>(rotulado)</t>
        </is>
      </c>
      <c r="E390" s="33" t="inlineStr">
        <is>
          <t>Tema de la conversación pública al que pertenece el titular.</t>
        </is>
      </c>
      <c r="F390" s="33" t="inlineStr">
        <is>
          <t>Texto</t>
        </is>
      </c>
      <c r="G390" s="33" t="inlineStr">
        <is>
          <t>—</t>
        </is>
      </c>
      <c r="H390" s="33" t="inlineStr">
        <is>
          <t>vivienda</t>
        </is>
      </c>
      <c r="I390" s="33" t="inlineStr">
        <is>
          <t>No</t>
        </is>
      </c>
      <c r="J390" s="33" t="inlineStr">
        <is>
          <t>ambiente; comercio; desarrollo; salud; transporte; turismo; vivienda</t>
        </is>
      </c>
      <c r="K390" s="33" t="inlineStr">
        <is>
          <t>Pública</t>
        </is>
      </c>
      <c r="L390" s="33" t="inlineStr">
        <is>
          <t>Asignado según la consulta de búsqueda.</t>
        </is>
      </c>
      <c r="M390" s="33" t="inlineStr">
        <is>
          <t>¿De qué se está hablando en Hong Kong?</t>
        </is>
      </c>
    </row>
    <row r="391" ht="15.75" customHeight="1" s="24">
      <c r="A391" s="33" t="inlineStr">
        <is>
          <t>F32</t>
        </is>
      </c>
      <c r="B391" s="33" t="inlineStr">
        <is>
          <t>public/data/escucha.json</t>
        </is>
      </c>
      <c r="C391" s="33" t="inlineStr">
        <is>
          <t>noticias[].consulta</t>
        </is>
      </c>
      <c r="D391" s="33" t="inlineStr">
        <is>
          <t>(consulta)</t>
        </is>
      </c>
      <c r="E391" s="33" t="inlineStr">
        <is>
          <t>Consulta de búsqueda con la que se obtuvo el titular.</t>
        </is>
      </c>
      <c r="F391" s="33" t="inlineStr">
        <is>
          <t>Texto</t>
        </is>
      </c>
      <c r="G391" s="33" t="inlineStr">
        <is>
          <t>—</t>
        </is>
      </c>
      <c r="H391" s="33" t="inlineStr">
        <is>
          <t>Hong Kong housing news October 2026</t>
        </is>
      </c>
      <c r="I391" s="33" t="inlineStr">
        <is>
          <t>No</t>
        </is>
      </c>
      <c r="J391" s="33" t="inlineStr">
        <is>
          <t>Hong Kong MTR transport news 2026; Hong Kong Northern Metropolis Yuen Long North district news 2026; Hong Kong air pollution weather typhoon news September 2026; Hong Kong hospital authority healthcar</t>
        </is>
      </c>
      <c r="K391" s="33" t="inlineStr">
        <is>
          <t>Pública</t>
        </is>
      </c>
      <c r="L391" s="33" t="inlineStr">
        <is>
          <t>Copiado.</t>
        </is>
      </c>
      <c r="M391" s="33" t="inlineStr">
        <is>
          <t>¿Cómo se capturó el titular? (reproducibilidad)</t>
        </is>
      </c>
    </row>
    <row r="392" ht="15.75" customHeight="1" s="24">
      <c r="A392" s="33" t="inlineStr">
        <is>
          <t>F32</t>
        </is>
      </c>
      <c r="B392" s="33" t="inlineStr">
        <is>
          <t>public/data/escucha.json</t>
        </is>
      </c>
      <c r="C392" s="33" t="inlineStr">
        <is>
          <t>noticias[].titular</t>
        </is>
      </c>
      <c r="D392" s="33" t="inlineStr">
        <is>
          <t>title</t>
        </is>
      </c>
      <c r="E392" s="33" t="inlineStr">
        <is>
          <t>Titular de la noticia.</t>
        </is>
      </c>
      <c r="F392" s="33" t="inlineStr">
        <is>
          <t>Texto</t>
        </is>
      </c>
      <c r="G392" s="33" t="inlineStr">
        <is>
          <t>—</t>
        </is>
      </c>
      <c r="H392" s="33" t="inlineStr">
        <is>
          <t>Hong Kong home prices rise</t>
        </is>
      </c>
      <c r="I392" s="33" t="inlineStr">
        <is>
          <t>No</t>
        </is>
      </c>
      <c r="J392" s="33" t="inlineStr">
        <is>
          <t>32 valores distintos</t>
        </is>
      </c>
      <c r="K392" s="33" t="inlineStr">
        <is>
          <t>Pública</t>
        </is>
      </c>
      <c r="L392" s="33" t="inlineStr">
        <is>
          <t>Copiado; sin texto del artículo.</t>
        </is>
      </c>
      <c r="M392" s="33" t="inlineStr">
        <is>
          <t>¿Qué dice la prensa?</t>
        </is>
      </c>
    </row>
    <row r="393" ht="15.75" customHeight="1" s="24">
      <c r="A393" s="33" t="inlineStr">
        <is>
          <t>F31</t>
        </is>
      </c>
      <c r="B393" s="33" t="inlineStr">
        <is>
          <t>public/data/escucha.json</t>
        </is>
      </c>
      <c r="C393" s="33" t="inlineStr">
        <is>
          <t>noticias[].url</t>
        </is>
      </c>
      <c r="D393" s="33" t="inlineStr">
        <is>
          <t>link / url</t>
        </is>
      </c>
      <c r="E393" s="33" t="inlineStr">
        <is>
          <t>Enlace a la fuente original.</t>
        </is>
      </c>
      <c r="F393" s="33" t="inlineStr">
        <is>
          <t>Texto</t>
        </is>
      </c>
      <c r="G393" s="33" t="inlineStr">
        <is>
          <t>URL</t>
        </is>
      </c>
      <c r="H393" s="33" t="inlineStr">
        <is>
          <t>https://finance.yahoo.com/news/hong-kong-home-prices-rise-093000178.html</t>
        </is>
      </c>
      <c r="I393" s="33" t="inlineStr">
        <is>
          <t>No</t>
        </is>
      </c>
      <c r="J393" s="33" t="inlineStr">
        <is>
          <t>32 valores distintos</t>
        </is>
      </c>
      <c r="K393" s="33" t="inlineStr">
        <is>
          <t>Pública</t>
        </is>
      </c>
      <c r="L393" s="33" t="inlineStr">
        <is>
          <t>Copiado tal cual.</t>
        </is>
      </c>
      <c r="M393" s="33" t="inlineStr">
        <is>
          <t>¿Dónde verificar el dato?</t>
        </is>
      </c>
    </row>
    <row r="394" ht="15.75" customHeight="1" s="24">
      <c r="A394" s="33" t="inlineStr">
        <is>
          <t>F31</t>
        </is>
      </c>
      <c r="B394" s="33" t="inlineStr">
        <is>
          <t>public/data/escucha.json</t>
        </is>
      </c>
      <c r="C394" s="33" t="inlineStr">
        <is>
          <t>noticias[].fuente</t>
        </is>
      </c>
      <c r="D394" s="33" t="inlineStr">
        <is>
          <t>(rotulado / dominio de la URL)</t>
        </is>
      </c>
      <c r="E394" s="33" t="inlineStr">
        <is>
          <t>Organismo o medio de origen del dato.</t>
        </is>
      </c>
      <c r="F394" s="33" t="inlineStr">
        <is>
          <t>Texto</t>
        </is>
      </c>
      <c r="G394" s="33" t="inlineStr">
        <is>
          <t>—</t>
        </is>
      </c>
      <c r="H394" s="33" t="inlineStr">
        <is>
          <t>finance.yahoo.com</t>
        </is>
      </c>
      <c r="I394" s="33" t="inlineStr">
        <is>
          <t>No</t>
        </is>
      </c>
      <c r="J394" s="33" t="inlineStr">
        <is>
          <t>15 valores distintos</t>
        </is>
      </c>
      <c r="K394" s="33" t="inlineStr">
        <is>
          <t>Pública</t>
        </is>
      </c>
      <c r="L394" s="33" t="inlineStr">
        <is>
          <t>En noticias se extrae el dominio de la URL con expresión regular.</t>
        </is>
      </c>
      <c r="M394" s="33" t="inlineStr">
        <is>
          <t>¿De dónde viene este dato y qué tan confiable es?</t>
        </is>
      </c>
    </row>
    <row r="395" ht="15.75" customHeight="1" s="24">
      <c r="A395" s="33" t="inlineStr">
        <is>
          <t>F32</t>
        </is>
      </c>
      <c r="B395" s="33" t="inlineStr">
        <is>
          <t>public/data/escucha.json</t>
        </is>
      </c>
      <c r="C395" s="33" t="inlineStr">
        <is>
          <t>noticias[].distritos_mencionados</t>
        </is>
      </c>
      <c r="D395" s="33" t="inlineStr">
        <is>
          <t>(calculado)</t>
        </is>
      </c>
      <c r="E395" s="33" t="inlineStr">
        <is>
          <t>Códigos de distrito mencionados en el titular o la URL, separados por '|'.</t>
        </is>
      </c>
      <c r="F395" s="33" t="inlineStr">
        <is>
          <t>Texto</t>
        </is>
      </c>
      <c r="G395" s="33" t="inlineStr">
        <is>
          <t>—</t>
        </is>
      </c>
      <c r="H395" s="33" t="inlineStr">
        <is>
          <t>A|B|C</t>
        </is>
      </c>
      <c r="I395" s="33" t="inlineStr">
        <is>
          <t>Sí</t>
        </is>
      </c>
      <c r="J395" s="33" t="inlineStr">
        <is>
          <t>; A|B|C; F; G; H|J; L|M|R; M|N</t>
        </is>
      </c>
      <c r="K395" s="33" t="inlineStr">
        <is>
          <t>Pública</t>
        </is>
      </c>
      <c r="L395" s="33" t="inlineStr">
        <is>
          <t>Búsqueda por diccionario de distritos y barrios (hkopendata) más lugares clave.</t>
        </is>
      </c>
      <c r="M395" s="33" t="inlineStr">
        <is>
          <t>¿Qué distritos aparecen en la conversación pública?</t>
        </is>
      </c>
    </row>
    <row r="396" ht="15.75" customHeight="1" s="24">
      <c r="A396" s="33" t="inlineStr">
        <is>
          <t>F32</t>
        </is>
      </c>
      <c r="B396" s="33" t="inlineStr">
        <is>
          <t>public/data/escucha.json</t>
        </is>
      </c>
      <c r="C396" s="33" t="inlineStr">
        <is>
          <t>noticias[].puntaje_tono</t>
        </is>
      </c>
      <c r="D396" s="33" t="inlineStr">
        <is>
          <t>(calculado)</t>
        </is>
      </c>
      <c r="E396" s="33" t="inlineStr">
        <is>
          <t>Palabras positivas menos negativas en el titular.</t>
        </is>
      </c>
      <c r="F396" s="33" t="inlineStr">
        <is>
          <t>Entero</t>
        </is>
      </c>
      <c r="G396" s="33" t="inlineStr">
        <is>
          <t>puntos</t>
        </is>
      </c>
      <c r="H396" s="33" t="inlineStr">
        <is>
          <t>1</t>
        </is>
      </c>
      <c r="I396" s="33" t="inlineStr">
        <is>
          <t>No</t>
        </is>
      </c>
      <c r="J396" s="33" t="inlineStr">
        <is>
          <t>-1 a 2</t>
        </is>
      </c>
      <c r="K396" s="33" t="inlineStr">
        <is>
          <t>Pública</t>
        </is>
      </c>
      <c r="L396" s="33" t="inlineStr">
        <is>
          <t>Léxico heurístico v1 sobre el titular en minúsculas.</t>
        </is>
      </c>
      <c r="M396" s="33" t="inlineStr">
        <is>
          <t>¿La cobertura es favorable o desfavorable?</t>
        </is>
      </c>
    </row>
    <row r="397" ht="15.75" customHeight="1" s="24">
      <c r="A397" s="33" t="inlineStr">
        <is>
          <t>F32</t>
        </is>
      </c>
      <c r="B397" s="33" t="inlineStr">
        <is>
          <t>public/data/escucha.json</t>
        </is>
      </c>
      <c r="C397" s="33" t="inlineStr">
        <is>
          <t>noticias[].tono</t>
        </is>
      </c>
      <c r="D397" s="33" t="inlineStr">
        <is>
          <t>(calculado)</t>
        </is>
      </c>
      <c r="E397" s="33" t="inlineStr">
        <is>
          <t>Clasificación del tono del titular.</t>
        </is>
      </c>
      <c r="F397" s="33" t="inlineStr">
        <is>
          <t>Texto</t>
        </is>
      </c>
      <c r="G397" s="33" t="inlineStr">
        <is>
          <t>—</t>
        </is>
      </c>
      <c r="H397" s="33" t="inlineStr">
        <is>
          <t>positivo</t>
        </is>
      </c>
      <c r="I397" s="33" t="inlineStr">
        <is>
          <t>No</t>
        </is>
      </c>
      <c r="J397" s="33" t="inlineStr">
        <is>
          <t>negativo; neutral; positivo</t>
        </is>
      </c>
      <c r="K397" s="33" t="inlineStr">
        <is>
          <t>Pública</t>
        </is>
      </c>
      <c r="L397" s="33" t="inlineStr">
        <is>
          <t>positivo si puntaje &gt; 0, negativo si &lt; 0, neutral si = 0.</t>
        </is>
      </c>
      <c r="M397" s="33" t="inlineStr">
        <is>
          <t>¿Predomina la conversación positiva o negativa por tema?</t>
        </is>
      </c>
    </row>
    <row r="398" ht="15.75" customHeight="1" s="24">
      <c r="A398" s="33" t="inlineStr">
        <is>
          <t>F32</t>
        </is>
      </c>
      <c r="B398" s="33" t="inlineStr">
        <is>
          <t>public/data/escucha.json</t>
        </is>
      </c>
      <c r="C398" s="33" t="inlineStr">
        <is>
          <t>noticias[].fecha_captura</t>
        </is>
      </c>
      <c r="D398" s="33" t="inlineStr">
        <is>
          <t>(no existe en la fuente)</t>
        </is>
      </c>
      <c r="E398" s="33" t="inlineStr">
        <is>
          <t>Fecha en que se capturó el titular.</t>
        </is>
      </c>
      <c r="F398" s="33" t="inlineStr">
        <is>
          <t>Fecha</t>
        </is>
      </c>
      <c r="G398" s="33" t="inlineStr">
        <is>
          <t>fecha (AAAA-MM-DD)</t>
        </is>
      </c>
      <c r="H398" s="33" t="inlineStr">
        <is>
          <t>2026-10-06</t>
        </is>
      </c>
      <c r="I398" s="33" t="inlineStr">
        <is>
          <t>No</t>
        </is>
      </c>
      <c r="J398" s="33" t="inlineStr">
        <is>
          <t>2026-10-06</t>
        </is>
      </c>
      <c r="K398" s="33" t="inlineStr">
        <is>
          <t>Pública</t>
        </is>
      </c>
      <c r="L398" s="33" t="inlineStr">
        <is>
          <t>Constante de la captura.</t>
        </is>
      </c>
      <c r="M398" s="33" t="inlineStr">
        <is>
          <t>¿De cuándo es esta foto de la conversación?</t>
        </is>
      </c>
    </row>
    <row r="399" ht="15.75" customHeight="1" s="24">
      <c r="A399" s="33" t="inlineStr">
        <is>
          <t>F32</t>
        </is>
      </c>
      <c r="B399" s="33" t="inlineStr">
        <is>
          <t>public/data/escucha.json</t>
        </is>
      </c>
      <c r="C399" s="33" t="inlineStr">
        <is>
          <t>noticias[].metodo_tono</t>
        </is>
      </c>
      <c r="D399" s="33" t="inlineStr">
        <is>
          <t>(no existe en la fuente)</t>
        </is>
      </c>
      <c r="E399" s="33" t="inlineStr">
        <is>
          <t>Versión del método usado para calcular el tono.</t>
        </is>
      </c>
      <c r="F399" s="33" t="inlineStr">
        <is>
          <t>Texto</t>
        </is>
      </c>
      <c r="G399" s="33" t="inlineStr">
        <is>
          <t>—</t>
        </is>
      </c>
      <c r="H399" s="33" t="inlineStr">
        <is>
          <t>lexico_heuristico_v1</t>
        </is>
      </c>
      <c r="I399" s="33" t="inlineStr">
        <is>
          <t>No</t>
        </is>
      </c>
      <c r="J399" s="33" t="inlineStr">
        <is>
          <t>lexico_heuristico_v1</t>
        </is>
      </c>
      <c r="K399" s="33" t="inlineStr">
        <is>
          <t>Pública</t>
        </is>
      </c>
      <c r="L399" s="33" t="inlineStr">
        <is>
          <t>Constante 'lexico_heuristico_v1'.</t>
        </is>
      </c>
      <c r="M399" s="33" t="inlineStr">
        <is>
          <t>¿Con qué método se calculó el tono?</t>
        </is>
      </c>
    </row>
    <row r="400" ht="15.75" customHeight="1" s="24">
      <c r="A400" s="33" t="inlineStr">
        <is>
          <t>F32</t>
        </is>
      </c>
      <c r="B400" s="33" t="inlineStr">
        <is>
          <t>public/data/escucha.json</t>
        </is>
      </c>
      <c r="C400" s="33" t="inlineStr">
        <is>
          <t>temas[].tema</t>
        </is>
      </c>
      <c r="D400" s="33" t="inlineStr">
        <is>
          <t>(rotulado)</t>
        </is>
      </c>
      <c r="E400" s="33" t="inlineStr">
        <is>
          <t>Tema de la conversación pública al que pertenece el titular.</t>
        </is>
      </c>
      <c r="F400" s="33" t="inlineStr">
        <is>
          <t>Texto</t>
        </is>
      </c>
      <c r="G400" s="33" t="inlineStr">
        <is>
          <t>—</t>
        </is>
      </c>
      <c r="H400" s="33" t="inlineStr">
        <is>
          <t>ambiente</t>
        </is>
      </c>
      <c r="I400" s="33" t="inlineStr">
        <is>
          <t>No</t>
        </is>
      </c>
      <c r="J400" s="33" t="inlineStr">
        <is>
          <t>ambiente; comercio; desarrollo; salud; transporte; turismo; vivienda</t>
        </is>
      </c>
      <c r="K400" s="33" t="inlineStr">
        <is>
          <t>Pública</t>
        </is>
      </c>
      <c r="L400" s="33" t="inlineStr">
        <is>
          <t>Asignado según la consulta de búsqueda.</t>
        </is>
      </c>
      <c r="M400" s="33" t="inlineStr">
        <is>
          <t>¿De qué se está hablando en Hong Kong?</t>
        </is>
      </c>
    </row>
    <row r="401" ht="15.75" customHeight="1" s="24">
      <c r="A401" s="33" t="inlineStr">
        <is>
          <t>F32</t>
        </is>
      </c>
      <c r="B401" s="33" t="inlineStr">
        <is>
          <t>public/data/escucha.json</t>
        </is>
      </c>
      <c r="C401" s="33" t="inlineStr">
        <is>
          <t>temas[].menciones</t>
        </is>
      </c>
      <c r="D401" s="33" t="inlineStr">
        <is>
          <t>(calculado)</t>
        </is>
      </c>
      <c r="E401" s="33" t="inlineStr">
        <is>
          <t>Número de titulares del tema.</t>
        </is>
      </c>
      <c r="F401" s="33" t="inlineStr">
        <is>
          <t>Entero</t>
        </is>
      </c>
      <c r="G401" s="33" t="inlineStr">
        <is>
          <t>titulares</t>
        </is>
      </c>
      <c r="H401" s="33" t="inlineStr">
        <is>
          <t>2</t>
        </is>
      </c>
      <c r="I401" s="33" t="inlineStr">
        <is>
          <t>No</t>
        </is>
      </c>
      <c r="J401" s="33" t="inlineStr">
        <is>
          <t>2 a 9</t>
        </is>
      </c>
      <c r="K401" s="33" t="inlineStr">
        <is>
          <t>Pública</t>
        </is>
      </c>
      <c r="L401" s="33" t="inlineStr">
        <is>
          <t>Conteo por tema.</t>
        </is>
      </c>
      <c r="M401" s="33" t="inlineStr">
        <is>
          <t>¿Qué temas tienen más cobertura?</t>
        </is>
      </c>
    </row>
    <row r="402" ht="15.75" customHeight="1" s="24">
      <c r="A402" s="33" t="inlineStr">
        <is>
          <t>F32</t>
        </is>
      </c>
      <c r="B402" s="33" t="inlineStr">
        <is>
          <t>public/data/escucha.json</t>
        </is>
      </c>
      <c r="C402" s="33" t="inlineStr">
        <is>
          <t>temas[].tono_medio</t>
        </is>
      </c>
      <c r="D402" s="33" t="inlineStr">
        <is>
          <t>(calculado)</t>
        </is>
      </c>
      <c r="E402" s="33" t="inlineStr">
        <is>
          <t>Promedio del puntaje de tono de los titulares del tema.</t>
        </is>
      </c>
      <c r="F402" s="33" t="inlineStr">
        <is>
          <t>Decimal</t>
        </is>
      </c>
      <c r="G402" s="33" t="inlineStr">
        <is>
          <t>puntos</t>
        </is>
      </c>
      <c r="H402" s="33" t="inlineStr">
        <is>
          <t>0.0</t>
        </is>
      </c>
      <c r="I402" s="33" t="inlineStr">
        <is>
          <t>No</t>
        </is>
      </c>
      <c r="J402" s="33" t="inlineStr">
        <is>
          <t>0 a 1</t>
        </is>
      </c>
      <c r="K402" s="33" t="inlineStr">
        <is>
          <t>Pública</t>
        </is>
      </c>
      <c r="L402" s="33" t="inlineStr">
        <is>
          <t>Media de puntaje_tono por tema.</t>
        </is>
      </c>
      <c r="M402" s="33" t="inlineStr">
        <is>
          <t>¿Qué temas tienen la cobertura más favorable?</t>
        </is>
      </c>
    </row>
    <row r="403" ht="15.75" customHeight="1" s="24">
      <c r="A403" s="33" t="inlineStr">
        <is>
          <t>F32</t>
        </is>
      </c>
      <c r="B403" s="33" t="inlineStr">
        <is>
          <t>public/data/escucha.json</t>
        </is>
      </c>
      <c r="C403" s="33" t="inlineStr">
        <is>
          <t>temas[].positivas</t>
        </is>
      </c>
      <c r="D403" s="33" t="inlineStr">
        <is>
          <t>(calculado)</t>
        </is>
      </c>
      <c r="E403" s="33" t="inlineStr">
        <is>
          <t>Titulares con tono positivo en el tema.</t>
        </is>
      </c>
      <c r="F403" s="33" t="inlineStr">
        <is>
          <t>Entero</t>
        </is>
      </c>
      <c r="G403" s="33" t="inlineStr">
        <is>
          <t>titulares</t>
        </is>
      </c>
      <c r="H403" s="33" t="inlineStr">
        <is>
          <t>0</t>
        </is>
      </c>
      <c r="I403" s="33" t="inlineStr">
        <is>
          <t>No</t>
        </is>
      </c>
      <c r="J403" s="33" t="inlineStr">
        <is>
          <t>0 a 5</t>
        </is>
      </c>
      <c r="K403" s="33" t="inlineStr">
        <is>
          <t>Pública</t>
        </is>
      </c>
      <c r="L403" s="33" t="inlineStr">
        <is>
          <t>Conteo de tono = positivo.</t>
        </is>
      </c>
      <c r="M403" s="33" t="inlineStr">
        <is>
          <t>¿Cuántas noticias favorables hay por tema?</t>
        </is>
      </c>
    </row>
    <row r="404" ht="15.75" customHeight="1" s="24">
      <c r="A404" s="33" t="inlineStr">
        <is>
          <t>F32</t>
        </is>
      </c>
      <c r="B404" s="33" t="inlineStr">
        <is>
          <t>public/data/escucha.json</t>
        </is>
      </c>
      <c r="C404" s="33" t="inlineStr">
        <is>
          <t>temas[].negativas</t>
        </is>
      </c>
      <c r="D404" s="33" t="inlineStr">
        <is>
          <t>(calculado)</t>
        </is>
      </c>
      <c r="E404" s="33" t="inlineStr">
        <is>
          <t>Titulares con tono negativo en el tema.</t>
        </is>
      </c>
      <c r="F404" s="33" t="inlineStr">
        <is>
          <t>Entero</t>
        </is>
      </c>
      <c r="G404" s="33" t="inlineStr">
        <is>
          <t>titulares</t>
        </is>
      </c>
      <c r="H404" s="33" t="inlineStr">
        <is>
          <t>0</t>
        </is>
      </c>
      <c r="I404" s="33" t="inlineStr">
        <is>
          <t>No</t>
        </is>
      </c>
      <c r="J404" s="33" t="inlineStr">
        <is>
          <t>0 a 2</t>
        </is>
      </c>
      <c r="K404" s="33" t="inlineStr">
        <is>
          <t>Pública</t>
        </is>
      </c>
      <c r="L404" s="33" t="inlineStr">
        <is>
          <t>Conteo de tono = negativo.</t>
        </is>
      </c>
      <c r="M404" s="33" t="inlineStr">
        <is>
          <t>¿Cuántas noticias desfavorables hay por tema?</t>
        </is>
      </c>
    </row>
    <row r="405" ht="15.75" customHeight="1" s="24">
      <c r="A405" s="33" t="inlineStr">
        <is>
          <t>F19</t>
        </is>
      </c>
      <c r="B405" s="33" t="inlineStr">
        <is>
          <t>public/data/escucha.json</t>
        </is>
      </c>
      <c r="C405" s="33" t="inlineStr">
        <is>
          <t>menciones_por_distrito[].codigo</t>
        </is>
      </c>
      <c r="D405" s="33" t="inlineStr">
        <is>
          <t>dc_class / 1ª letra de CACODE</t>
        </is>
      </c>
      <c r="E405" s="33" t="inlineStr">
        <is>
          <t>Código de letra del distrito (A–T) usado por el censo y la EAC.</t>
        </is>
      </c>
      <c r="F405" s="33" t="inlineStr">
        <is>
          <t>Texto</t>
        </is>
      </c>
      <c r="G405" s="33" t="inlineStr">
        <is>
          <t>—</t>
        </is>
      </c>
      <c r="H405" s="33" t="inlineStr">
        <is>
          <t>A</t>
        </is>
      </c>
      <c r="I405" s="33" t="inlineStr">
        <is>
          <t>No</t>
        </is>
      </c>
      <c r="J405" s="33" t="inlineStr">
        <is>
          <t>18 valores distintos</t>
        </is>
      </c>
      <c r="K405" s="33" t="inlineStr">
        <is>
          <t>Pública</t>
        </is>
      </c>
      <c r="L405" s="33" t="inlineStr">
        <is>
          <t>Derivado de la primera letra del código DCCA; se usa como llave de unión entre todas las tablas.</t>
        </is>
      </c>
      <c r="M405" s="33" t="inlineStr">
        <is>
          <t>¿A qué distrito pertenece este registro?</t>
        </is>
      </c>
    </row>
    <row r="406" ht="15.75" customHeight="1" s="24">
      <c r="A406" s="33" t="inlineStr">
        <is>
          <t>F19</t>
        </is>
      </c>
      <c r="B406" s="33" t="inlineStr">
        <is>
          <t>public/data/escucha.json</t>
        </is>
      </c>
      <c r="C406" s="33" t="inlineStr">
        <is>
          <t>menciones_por_distrito[].distrito_en</t>
        </is>
      </c>
      <c r="D406" s="33" t="inlineStr">
        <is>
          <t>dc_eng</t>
        </is>
      </c>
      <c r="E406" s="33" t="inlineStr">
        <is>
          <t>Nombre oficial del distrito en inglés.</t>
        </is>
      </c>
      <c r="F406" s="33" t="inlineStr">
        <is>
          <t>Texto</t>
        </is>
      </c>
      <c r="G406" s="33" t="inlineStr">
        <is>
          <t>—</t>
        </is>
      </c>
      <c r="H406" s="33" t="inlineStr">
        <is>
          <t>Central and Western</t>
        </is>
      </c>
      <c r="I406" s="33" t="inlineStr">
        <is>
          <t>No</t>
        </is>
      </c>
      <c r="J406" s="33" t="inlineStr">
        <is>
          <t>18 valores distintos</t>
        </is>
      </c>
      <c r="K406" s="33" t="inlineStr">
        <is>
          <t>Pública</t>
        </is>
      </c>
      <c r="L406" s="33" t="inlineStr">
        <is>
          <t>Estandarizado contra la tabla maestra de 18 distritos.</t>
        </is>
      </c>
      <c r="M406" s="33" t="inlineStr">
        <is>
          <t>¿Cómo se llama el distrito?</t>
        </is>
      </c>
    </row>
    <row r="407" ht="15.75" customHeight="1" s="24">
      <c r="A407" s="33" t="inlineStr">
        <is>
          <t>F19</t>
        </is>
      </c>
      <c r="B407" s="33" t="inlineStr">
        <is>
          <t>public/data/escucha.json</t>
        </is>
      </c>
      <c r="C407" s="33" t="inlineStr">
        <is>
          <t>menciones_por_distrito[].distrito_es</t>
        </is>
      </c>
      <c r="D407" s="33" t="inlineStr">
        <is>
          <t>(no existe en la fuente)</t>
        </is>
      </c>
      <c r="E407" s="33" t="inlineStr">
        <is>
          <t>Nombre del distrito en español para la interfaz.</t>
        </is>
      </c>
      <c r="F407" s="33" t="inlineStr">
        <is>
          <t>Texto</t>
        </is>
      </c>
      <c r="G407" s="33" t="inlineStr">
        <is>
          <t>—</t>
        </is>
      </c>
      <c r="H407" s="33" t="inlineStr">
        <is>
          <t>Centro y Oeste</t>
        </is>
      </c>
      <c r="I407" s="33" t="inlineStr">
        <is>
          <t>No</t>
        </is>
      </c>
      <c r="J407" s="33" t="inlineStr">
        <is>
          <t>18 valores distintos</t>
        </is>
      </c>
      <c r="K407" s="33" t="inlineStr">
        <is>
          <t>Pública</t>
        </is>
      </c>
      <c r="L407" s="33" t="inlineStr">
        <is>
          <t>Traducción propia del nombre inglés.</t>
        </is>
      </c>
      <c r="M407" s="33" t="inlineStr">
        <is>
          <t>¿Cómo mostrar el distrito al usuario?</t>
        </is>
      </c>
    </row>
    <row r="408" ht="15.75" customHeight="1" s="24">
      <c r="A408" s="33" t="inlineStr">
        <is>
          <t>F32, F33</t>
        </is>
      </c>
      <c r="B408" s="33" t="inlineStr">
        <is>
          <t>public/data/escucha.json</t>
        </is>
      </c>
      <c r="C408" s="33" t="inlineStr">
        <is>
          <t>menciones_por_distrito[].menciones_noticias</t>
        </is>
      </c>
      <c r="D408" s="33" t="inlineStr">
        <is>
          <t>(calculado)</t>
        </is>
      </c>
      <c r="E408" s="33" t="inlineStr">
        <is>
          <t>Número de titulares que mencionan el distrito.</t>
        </is>
      </c>
      <c r="F408" s="33" t="inlineStr">
        <is>
          <t>Entero</t>
        </is>
      </c>
      <c r="G408" s="33" t="inlineStr">
        <is>
          <t>titulares</t>
        </is>
      </c>
      <c r="H408" s="33" t="inlineStr">
        <is>
          <t>1</t>
        </is>
      </c>
      <c r="I408" s="33" t="inlineStr">
        <is>
          <t>No</t>
        </is>
      </c>
      <c r="J408" s="33" t="inlineStr">
        <is>
          <t>0 a 5</t>
        </is>
      </c>
      <c r="K408" s="33" t="inlineStr">
        <is>
          <t>Pública</t>
        </is>
      </c>
      <c r="L408" s="33" t="inlineStr">
        <is>
          <t>Copiado de curated/escucha/menciones_por_distrito.csv (unión por codigo). Origen: Conteo de códigos en distritos_mencionados.</t>
        </is>
      </c>
      <c r="M408" s="33" t="inlineStr">
        <is>
          <t>¿Qué distritos concentran la atención mediática?</t>
        </is>
      </c>
    </row>
    <row r="409" ht="15.75" customHeight="1" s="24">
      <c r="A409" s="33" t="inlineStr">
        <is>
          <t>F31</t>
        </is>
      </c>
      <c r="B409" s="33" t="inlineStr">
        <is>
          <t>public/data/escucha.json</t>
        </is>
      </c>
      <c r="C409" s="33" t="inlineStr">
        <is>
          <t>delitos_mensuales[].periodo</t>
        </is>
      </c>
      <c r="D409" s="33" t="inlineStr">
        <is>
          <t>Year/Month o periodo publicado</t>
        </is>
      </c>
      <c r="E409" s="33" t="inlineStr">
        <is>
          <t>Periodo al que corresponde el valor (año, mes o ventana móvil).</t>
        </is>
      </c>
      <c r="F409" s="33" t="inlineStr">
        <is>
          <t>Texto</t>
        </is>
      </c>
      <c r="G409" s="33" t="inlineStr">
        <is>
          <t>—</t>
        </is>
      </c>
      <c r="H409" s="33" t="inlineStr">
        <is>
          <t>2022-01</t>
        </is>
      </c>
      <c r="I409" s="33" t="inlineStr">
        <is>
          <t>No</t>
        </is>
      </c>
      <c r="J409" s="33" t="inlineStr">
        <is>
          <t>36 valores distintos</t>
        </is>
      </c>
      <c r="K409" s="33" t="inlineStr">
        <is>
          <t>Pública</t>
        </is>
      </c>
      <c r="L409" s="33" t="inlineStr">
        <is>
          <t>En delitos: año y mes en inglés convertidos a AAAA-MM.</t>
        </is>
      </c>
      <c r="M409" s="33" t="inlineStr">
        <is>
          <t>¿A qué fecha corresponde el dato?</t>
        </is>
      </c>
    </row>
    <row r="410" ht="15.75" customHeight="1" s="24">
      <c r="A410" s="33" t="inlineStr">
        <is>
          <t>F31</t>
        </is>
      </c>
      <c r="B410" s="33" t="inlineStr">
        <is>
          <t>public/data/escucha.json</t>
        </is>
      </c>
      <c r="C410" s="33" t="inlineStr">
        <is>
          <t>delitos_mensuales[].delitos_totales</t>
        </is>
      </c>
      <c r="D410" s="33" t="inlineStr">
        <is>
          <t>Overall</t>
        </is>
      </c>
      <c r="E410" s="33" t="inlineStr">
        <is>
          <t>Delitos totales registrados en el mes.</t>
        </is>
      </c>
      <c r="F410" s="33" t="inlineStr">
        <is>
          <t>Entero</t>
        </is>
      </c>
      <c r="G410" s="33" t="inlineStr">
        <is>
          <t>casos</t>
        </is>
      </c>
      <c r="H410" s="33" t="inlineStr">
        <is>
          <t>5815</t>
        </is>
      </c>
      <c r="I410" s="33" t="inlineStr">
        <is>
          <t>No</t>
        </is>
      </c>
      <c r="J410" s="33" t="inlineStr">
        <is>
          <t>3.297 a 8.879</t>
        </is>
      </c>
      <c r="K410" s="33" t="inlineStr">
        <is>
          <t>Pública</t>
        </is>
      </c>
      <c r="L410" s="33" t="inlineStr">
        <is>
          <t>Renombrado.</t>
        </is>
      </c>
      <c r="M410" s="33" t="inlineStr">
        <is>
          <t>¿Cómo evoluciona la criminalidad mes a mes? (Wiki 4.1)</t>
        </is>
      </c>
    </row>
    <row r="411" ht="15.75" customHeight="1" s="24">
      <c r="A411" s="33" t="inlineStr">
        <is>
          <t>F31</t>
        </is>
      </c>
      <c r="B411" s="33" t="inlineStr">
        <is>
          <t>public/data/escucha.json</t>
        </is>
      </c>
      <c r="C411" s="33" t="inlineStr">
        <is>
          <t>delitos_mensuales[].delitos_violentos</t>
        </is>
      </c>
      <c r="D411" s="33" t="inlineStr">
        <is>
          <t>Violent</t>
        </is>
      </c>
      <c r="E411" s="33" t="inlineStr">
        <is>
          <t>Delitos violentos registrados en el mes.</t>
        </is>
      </c>
      <c r="F411" s="33" t="inlineStr">
        <is>
          <t>Entero</t>
        </is>
      </c>
      <c r="G411" s="33" t="inlineStr">
        <is>
          <t>casos</t>
        </is>
      </c>
      <c r="H411" s="33" t="inlineStr">
        <is>
          <t>775</t>
        </is>
      </c>
      <c r="I411" s="33" t="inlineStr">
        <is>
          <t>No</t>
        </is>
      </c>
      <c r="J411" s="33" t="inlineStr">
        <is>
          <t>464 a 994</t>
        </is>
      </c>
      <c r="K411" s="33" t="inlineStr">
        <is>
          <t>Pública</t>
        </is>
      </c>
      <c r="L411" s="33" t="inlineStr">
        <is>
          <t>Renombrado.</t>
        </is>
      </c>
      <c r="M411" s="33" t="inlineStr">
        <is>
          <t>¿Cómo evolucionan los delitos violentos? (Wiki 4.2)</t>
        </is>
      </c>
    </row>
    <row r="412" ht="15.75" customHeight="1" s="24">
      <c r="A412" s="33" t="inlineStr">
        <is>
          <t>F31</t>
        </is>
      </c>
      <c r="B412" s="33" t="inlineStr">
        <is>
          <t>public/data/escucha.json</t>
        </is>
      </c>
      <c r="C412" s="33" t="inlineStr">
        <is>
          <t>delitos_mensuales[].pct_violentos</t>
        </is>
      </c>
      <c r="D412" s="33" t="inlineStr">
        <is>
          <t>(calculado)</t>
        </is>
      </c>
      <c r="E412" s="33" t="inlineStr">
        <is>
          <t>Porcentaje de delitos que son violentos en el mes.</t>
        </is>
      </c>
      <c r="F412" s="33" t="inlineStr">
        <is>
          <t>Decimal</t>
        </is>
      </c>
      <c r="G412" s="33" t="inlineStr">
        <is>
          <t>%</t>
        </is>
      </c>
      <c r="H412" s="33" t="inlineStr">
        <is>
          <t>13.33</t>
        </is>
      </c>
      <c r="I412" s="33" t="inlineStr">
        <is>
          <t>No</t>
        </is>
      </c>
      <c r="J412" s="33" t="inlineStr">
        <is>
          <t>9,7 a 14,07</t>
        </is>
      </c>
      <c r="K412" s="33" t="inlineStr">
        <is>
          <t>Pública</t>
        </is>
      </c>
      <c r="L412" s="33" t="inlineStr">
        <is>
          <t>100 × delitos_violentos / delitos_totales.</t>
        </is>
      </c>
      <c r="M412" s="33" t="inlineStr">
        <is>
          <t>¿Está cambiando la composición del delito? (Wiki 4.2, 4.4)</t>
        </is>
      </c>
    </row>
    <row r="413" ht="15.75" customHeight="1" s="24">
      <c r="A413" s="33" t="inlineStr">
        <is>
          <t>F32</t>
        </is>
      </c>
      <c r="B413" s="33" t="inlineStr">
        <is>
          <t>public/data/escucha.json</t>
        </is>
      </c>
      <c r="C413" s="33" t="inlineStr">
        <is>
          <t>nota_metodologica</t>
        </is>
      </c>
      <c r="D413" s="33" t="inlineStr">
        <is>
          <t>(grupo)</t>
        </is>
      </c>
      <c r="E413" s="33" t="inlineStr">
        <is>
          <t>Cómo se calculó el tono de los titulares.</t>
        </is>
      </c>
      <c r="F413" s="33" t="inlineStr">
        <is>
          <t>Texto</t>
        </is>
      </c>
      <c r="G413" s="33" t="inlineStr">
        <is>
          <t>—</t>
        </is>
      </c>
      <c r="H413" s="33" t="inlineStr">
        <is>
          <t>El tono es un puntaje heurístico por léxico (palabras positivas menos negativas …</t>
        </is>
      </c>
      <c r="I413" s="33" t="inlineStr">
        <is>
          <t>No</t>
        </is>
      </c>
      <c r="J413" s="33" t="inlineStr">
        <is>
          <t>El tono es un puntaje heurístico por léxico (palabras positivas menos negativas en el titular). Es una señal exploratoria, no un análisis de sentimiento validado.</t>
        </is>
      </c>
      <c r="K413" s="33" t="inlineStr">
        <is>
          <t>Pública</t>
        </is>
      </c>
      <c r="L413" s="33" t="inlineStr">
        <is>
          <t>Texto escrito por el grupo.</t>
        </is>
      </c>
      <c r="M413" s="33" t="inlineStr">
        <is>
          <t>¿Qué tan confiable es el tono?</t>
        </is>
      </c>
    </row>
    <row r="414" ht="15.75" customHeight="1" s="24">
      <c r="A414" s="33" t="inlineStr">
        <is>
          <t>F20, F21, F22, F23, F24</t>
        </is>
      </c>
      <c r="B414" s="33" t="inlineStr">
        <is>
          <t>public/data/correlaciones.json</t>
        </is>
      </c>
      <c r="C414" s="33" t="inlineStr">
        <is>
          <t>meta.generado_utc</t>
        </is>
      </c>
      <c r="D414" s="33" t="inlineStr">
        <is>
          <t>(pipeline)</t>
        </is>
      </c>
      <c r="E414" s="33" t="inlineStr">
        <is>
          <t>Momento en que el pipeline generó el archivo.</t>
        </is>
      </c>
      <c r="F414" s="33" t="inlineStr">
        <is>
          <t>Fecha</t>
        </is>
      </c>
      <c r="G414" s="33" t="inlineStr">
        <is>
          <t>fecha-hora UTC</t>
        </is>
      </c>
      <c r="H414" s="33" t="inlineStr">
        <is>
          <t>2026-10-26T12:25:12Z</t>
        </is>
      </c>
      <c r="I414" s="33" t="inlineStr">
        <is>
          <t>No</t>
        </is>
      </c>
      <c r="J414" s="33" t="inlineStr">
        <is>
          <t>2026-10-26T12:25:12Z</t>
        </is>
      </c>
      <c r="K414" s="33" t="inlineStr">
        <is>
          <t>Pública</t>
        </is>
      </c>
      <c r="L414" s="33" t="inlineStr">
        <is>
          <t>datetime.utcnow() al escribir el archivo.</t>
        </is>
      </c>
      <c r="M414" s="33" t="inlineStr">
        <is>
          <t>¿De cuándo son los datos que veo?</t>
        </is>
      </c>
    </row>
    <row r="415" ht="15.75" customHeight="1" s="24">
      <c r="A415" s="33" t="inlineStr">
        <is>
          <t>F20, F21, F22, F23, F24</t>
        </is>
      </c>
      <c r="B415" s="33" t="inlineStr">
        <is>
          <t>public/data/correlaciones.json</t>
        </is>
      </c>
      <c r="C415" s="33" t="inlineStr">
        <is>
          <t>meta.ciudad</t>
        </is>
      </c>
      <c r="D415" s="33" t="inlineStr">
        <is>
          <t>(pipeline)</t>
        </is>
      </c>
      <c r="E415" s="33" t="inlineStr">
        <is>
          <t>Ciudad a la que corresponde el archivo.</t>
        </is>
      </c>
      <c r="F415" s="33" t="inlineStr">
        <is>
          <t>Texto</t>
        </is>
      </c>
      <c r="G415" s="33" t="inlineStr">
        <is>
          <t>—</t>
        </is>
      </c>
      <c r="H415" s="33" t="inlineStr">
        <is>
          <t>Hong Kong</t>
        </is>
      </c>
      <c r="I415" s="33" t="inlineStr">
        <is>
          <t>No</t>
        </is>
      </c>
      <c r="J415" s="33" t="inlineStr">
        <is>
          <t>Hong Kong</t>
        </is>
      </c>
      <c r="K415" s="33" t="inlineStr">
        <is>
          <t>Pública</t>
        </is>
      </c>
      <c r="L415" s="33" t="inlineStr">
        <is>
          <t>Constante.</t>
        </is>
      </c>
      <c r="M415" s="33" t="inlineStr">
        <is>
          <t>¿De qué ciudad es el tablero?</t>
        </is>
      </c>
    </row>
    <row r="416" ht="15.75" customHeight="1" s="24">
      <c r="A416" s="33" t="inlineStr">
        <is>
          <t>F20, F21, F22, F23, F24</t>
        </is>
      </c>
      <c r="B416" s="33" t="inlineStr">
        <is>
          <t>public/data/correlaciones.json</t>
        </is>
      </c>
      <c r="C416" s="33" t="inlineStr">
        <is>
          <t>meta.unidad_territorial</t>
        </is>
      </c>
      <c r="D416" s="33" t="inlineStr">
        <is>
          <t>(pipeline)</t>
        </is>
      </c>
      <c r="E416" s="33" t="inlineStr">
        <is>
          <t>Unidad territorial de las filas del archivo.</t>
        </is>
      </c>
      <c r="F416" s="33" t="inlineStr">
        <is>
          <t>Texto</t>
        </is>
      </c>
      <c r="G416" s="33" t="inlineStr">
        <is>
          <t>—</t>
        </is>
      </c>
      <c r="H416" s="33" t="inlineStr">
        <is>
          <t>18 distritos (District Council districts)</t>
        </is>
      </c>
      <c r="I416" s="33" t="inlineStr">
        <is>
          <t>No</t>
        </is>
      </c>
      <c r="J416" s="33" t="inlineStr">
        <is>
          <t>18 distritos (District Council districts)</t>
        </is>
      </c>
      <c r="K416" s="33" t="inlineStr">
        <is>
          <t>Pública</t>
        </is>
      </c>
      <c r="L416" s="33" t="inlineStr">
        <is>
          <t>Constante.</t>
        </is>
      </c>
      <c r="M416" s="33" t="inlineStr">
        <is>
          <t>¿A qué escala se lee cada cifra?</t>
        </is>
      </c>
    </row>
    <row r="417" ht="15.75" customHeight="1" s="24">
      <c r="A417" s="33" t="inlineStr">
        <is>
          <t>F20, F21, F22, F23, F24</t>
        </is>
      </c>
      <c r="B417" s="33" t="inlineStr">
        <is>
          <t>public/data/correlaciones.json</t>
        </is>
      </c>
      <c r="C417" s="33" t="inlineStr">
        <is>
          <t>meta.catalogo</t>
        </is>
      </c>
      <c r="D417" s="33" t="inlineStr">
        <is>
          <t>(pipeline)</t>
        </is>
      </c>
      <c r="E417" s="33" t="inlineStr">
        <is>
          <t>Ruta al catálogo de fuentes que documenta el archivo.</t>
        </is>
      </c>
      <c r="F417" s="33" t="inlineStr">
        <is>
          <t>Texto</t>
        </is>
      </c>
      <c r="G417" s="33" t="inlineStr">
        <is>
          <t>—</t>
        </is>
      </c>
      <c r="H417" s="33" t="inlineStr">
        <is>
          <t>catalogo/catalogo.json</t>
        </is>
      </c>
      <c r="I417" s="33" t="inlineStr">
        <is>
          <t>No</t>
        </is>
      </c>
      <c r="J417" s="33" t="inlineStr">
        <is>
          <t>catalogo/catalogo.json</t>
        </is>
      </c>
      <c r="K417" s="33" t="inlineStr">
        <is>
          <t>Pública</t>
        </is>
      </c>
      <c r="L417" s="33" t="inlineStr">
        <is>
          <t>Constante.</t>
        </is>
      </c>
      <c r="M417" s="33" t="inlineStr">
        <is>
          <t>¿Dónde está la procedencia?</t>
        </is>
      </c>
    </row>
    <row r="418" ht="15.75" customHeight="1" s="24">
      <c r="A418" s="33" t="inlineStr">
        <is>
          <t>F20, F21</t>
        </is>
      </c>
      <c r="B418" s="33" t="inlineStr">
        <is>
          <t>public/data/correlaciones.json</t>
        </is>
      </c>
      <c r="C418" s="33" t="inlineStr">
        <is>
          <t>n_observaciones</t>
        </is>
      </c>
      <c r="D418" s="33" t="inlineStr">
        <is>
          <t>(calculado)</t>
        </is>
      </c>
      <c r="E418" s="33" t="inlineStr">
        <is>
          <t>Número de distritos usados en las correlaciones.</t>
        </is>
      </c>
      <c r="F418" s="33" t="inlineStr">
        <is>
          <t>Entero</t>
        </is>
      </c>
      <c r="G418" s="33" t="inlineStr">
        <is>
          <t>distritos</t>
        </is>
      </c>
      <c r="H418" s="33" t="inlineStr">
        <is>
          <t>18</t>
        </is>
      </c>
      <c r="I418" s="33" t="inlineStr">
        <is>
          <t>No</t>
        </is>
      </c>
      <c r="J418" s="33" t="inlineStr">
        <is>
          <t>18 a 18</t>
        </is>
      </c>
      <c r="K418" s="33" t="inlineStr">
        <is>
          <t>Pública</t>
        </is>
      </c>
      <c r="L418" s="33" t="inlineStr">
        <is>
          <t>Casos completos.</t>
        </is>
      </c>
      <c r="M418" s="33" t="inlineStr">
        <is>
          <t>¿Con cuántos datos se calculó?</t>
        </is>
      </c>
    </row>
    <row r="419" ht="15.75" customHeight="1" s="24">
      <c r="A419" s="33" t="inlineStr">
        <is>
          <t>F20, F21, F22, F23, F24</t>
        </is>
      </c>
      <c r="B419" s="33" t="inlineStr">
        <is>
          <t>public/data/correlaciones.json</t>
        </is>
      </c>
      <c r="C419" s="33" t="inlineStr">
        <is>
          <t>variables.{clave}</t>
        </is>
      </c>
      <c r="D419" s="33" t="inlineStr">
        <is>
          <t>(calculado)</t>
        </is>
      </c>
      <c r="E419" s="33" t="inlineStr">
        <is>
          <t>Etiqueta legible de cada variable del explorador.</t>
        </is>
      </c>
      <c r="F419" s="33" t="inlineStr">
        <is>
          <t>Texto</t>
        </is>
      </c>
      <c r="G419" s="33" t="inlineStr">
        <is>
          <t>—</t>
        </is>
      </c>
      <c r="H419" s="33" t="inlineStr">
        <is>
          <t>Densidad (hab/km²)</t>
        </is>
      </c>
      <c r="I419" s="33" t="inlineStr">
        <is>
          <t>No</t>
        </is>
      </c>
      <c r="J419" s="33" t="inlineStr">
        <is>
          <t>17 valores distintos</t>
        </is>
      </c>
      <c r="K419" s="33" t="inlineStr">
        <is>
          <t>Pública</t>
        </is>
      </c>
      <c r="L419" s="33" t="inlineStr">
        <is>
          <t>scipy.stats sobre los 18 distritos, casos completos.</t>
        </is>
      </c>
      <c r="M419" s="33" t="inlineStr">
        <is>
          <t>¿Qué variables se mueven juntas entre distritos?</t>
        </is>
      </c>
    </row>
    <row r="420" ht="15.75" customHeight="1" s="24">
      <c r="A420" s="33" t="inlineStr">
        <is>
          <t>F20, F21, F22, F23, F24</t>
        </is>
      </c>
      <c r="B420" s="33" t="inlineStr">
        <is>
          <t>public/data/correlaciones.json</t>
        </is>
      </c>
      <c r="C420" s="33" t="inlineStr">
        <is>
          <t>pearson.{clave}.{clave}</t>
        </is>
      </c>
      <c r="D420" s="33" t="inlineStr">
        <is>
          <t>(calculado)</t>
        </is>
      </c>
      <c r="E420" s="33" t="inlineStr">
        <is>
          <t>Coeficiente de Pearson entre dos variables (matriz 17×17).</t>
        </is>
      </c>
      <c r="F420" s="33" t="inlineStr">
        <is>
          <t>Decimal</t>
        </is>
      </c>
      <c r="G420" s="33" t="inlineStr">
        <is>
          <t>coeficiente</t>
        </is>
      </c>
      <c r="H420" s="33" t="inlineStr">
        <is>
          <t>1.0</t>
        </is>
      </c>
      <c r="I420" s="33" t="inlineStr">
        <is>
          <t>No</t>
        </is>
      </c>
      <c r="J420" s="33" t="inlineStr">
        <is>
          <t>-1 a 1</t>
        </is>
      </c>
      <c r="K420" s="33" t="inlineStr">
        <is>
          <t>Pública</t>
        </is>
      </c>
      <c r="L420" s="33" t="inlineStr">
        <is>
          <t>scipy.stats sobre los 18 distritos, casos completos.</t>
        </is>
      </c>
      <c r="M420" s="33" t="inlineStr">
        <is>
          <t>¿Qué variables se mueven juntas entre distritos?</t>
        </is>
      </c>
    </row>
    <row r="421" ht="15.75" customHeight="1" s="24">
      <c r="A421" s="33" t="inlineStr">
        <is>
          <t>F20, F21, F22, F23, F24</t>
        </is>
      </c>
      <c r="B421" s="33" t="inlineStr">
        <is>
          <t>public/data/correlaciones.json</t>
        </is>
      </c>
      <c r="C421" s="33" t="inlineStr">
        <is>
          <t>spearman.{clave}.{clave}</t>
        </is>
      </c>
      <c r="D421" s="33" t="inlineStr">
        <is>
          <t>(calculado)</t>
        </is>
      </c>
      <c r="E421" s="33" t="inlineStr">
        <is>
          <t>Coeficiente de Spearman entre dos variables (matriz 17×17).</t>
        </is>
      </c>
      <c r="F421" s="33" t="inlineStr">
        <is>
          <t>Decimal</t>
        </is>
      </c>
      <c r="G421" s="33" t="inlineStr">
        <is>
          <t>coeficiente</t>
        </is>
      </c>
      <c r="H421" s="33" t="inlineStr">
        <is>
          <t>1.0</t>
        </is>
      </c>
      <c r="I421" s="33" t="inlineStr">
        <is>
          <t>No</t>
        </is>
      </c>
      <c r="J421" s="33" t="inlineStr">
        <is>
          <t>-1 a 1</t>
        </is>
      </c>
      <c r="K421" s="33" t="inlineStr">
        <is>
          <t>Pública</t>
        </is>
      </c>
      <c r="L421" s="33" t="inlineStr">
        <is>
          <t>scipy.stats sobre los 18 distritos, casos completos.</t>
        </is>
      </c>
      <c r="M421" s="33" t="inlineStr">
        <is>
          <t>¿Qué variables se mueven juntas entre distritos?</t>
        </is>
      </c>
    </row>
    <row r="422" ht="15.75" customHeight="1" s="24">
      <c r="A422" s="33" t="inlineStr">
        <is>
          <t>F20, F21, F22, F23, F24</t>
        </is>
      </c>
      <c r="B422" s="33" t="inlineStr">
        <is>
          <t>public/data/correlaciones.json</t>
        </is>
      </c>
      <c r="C422" s="33" t="inlineStr">
        <is>
          <t>pares_top[].var_x</t>
        </is>
      </c>
      <c r="D422" s="33" t="inlineStr">
        <is>
          <t>(calculado)</t>
        </is>
      </c>
      <c r="E422" s="33" t="inlineStr">
        <is>
          <t>Primera variable del par.</t>
        </is>
      </c>
      <c r="F422" s="33" t="inlineStr">
        <is>
          <t>Texto</t>
        </is>
      </c>
      <c r="G422" s="33" t="inlineStr">
        <is>
          <t>—</t>
        </is>
      </c>
      <c r="H422" s="33" t="inlineStr">
        <is>
          <t>densidad_hab_km2</t>
        </is>
      </c>
      <c r="I422" s="33" t="inlineStr">
        <is>
          <t>No</t>
        </is>
      </c>
      <c r="J422" s="33" t="inlineStr">
        <is>
          <t>12 valores distintos</t>
        </is>
      </c>
      <c r="K422" s="33" t="inlineStr">
        <is>
          <t>Pública</t>
        </is>
      </c>
      <c r="L422" s="33" t="inlineStr">
        <is>
          <t>Nombre del campo del atlas.</t>
        </is>
      </c>
      <c r="M422" s="33" t="inlineStr">
        <is>
          <t>¿Qué pares de indicadores se mueven juntos?</t>
        </is>
      </c>
    </row>
    <row r="423" ht="15.75" customHeight="1" s="24">
      <c r="A423" s="33" t="inlineStr">
        <is>
          <t>F20, F21, F22, F23, F24</t>
        </is>
      </c>
      <c r="B423" s="33" t="inlineStr">
        <is>
          <t>public/data/correlaciones.json</t>
        </is>
      </c>
      <c r="C423" s="33" t="inlineStr">
        <is>
          <t>pares_top[].var_y</t>
        </is>
      </c>
      <c r="D423" s="33" t="inlineStr">
        <is>
          <t>(calculado)</t>
        </is>
      </c>
      <c r="E423" s="33" t="inlineStr">
        <is>
          <t>Segunda variable del par.</t>
        </is>
      </c>
      <c r="F423" s="33" t="inlineStr">
        <is>
          <t>Texto</t>
        </is>
      </c>
      <c r="G423" s="33" t="inlineStr">
        <is>
          <t>—</t>
        </is>
      </c>
      <c r="H423" s="33" t="inlineStr">
        <is>
          <t>paradas_por_km2</t>
        </is>
      </c>
      <c r="I423" s="33" t="inlineStr">
        <is>
          <t>No</t>
        </is>
      </c>
      <c r="J423" s="33" t="inlineStr">
        <is>
          <t>11 valores distintos</t>
        </is>
      </c>
      <c r="K423" s="33" t="inlineStr">
        <is>
          <t>Pública</t>
        </is>
      </c>
      <c r="L423" s="33" t="inlineStr">
        <is>
          <t>Nombre del campo del atlas.</t>
        </is>
      </c>
      <c r="M423" s="33" t="inlineStr">
        <is>
          <t>¿Qué pares de indicadores se mueven juntos?</t>
        </is>
      </c>
    </row>
    <row r="424" ht="15.75" customHeight="1" s="24">
      <c r="A424" s="33" t="inlineStr">
        <is>
          <t>F20, F21, F22, F23, F24</t>
        </is>
      </c>
      <c r="B424" s="33" t="inlineStr">
        <is>
          <t>public/data/correlaciones.json</t>
        </is>
      </c>
      <c r="C424" s="33" t="inlineStr">
        <is>
          <t>pares_top[].etiqueta_x</t>
        </is>
      </c>
      <c r="D424" s="33" t="inlineStr">
        <is>
          <t>(calculado)</t>
        </is>
      </c>
      <c r="E424" s="33" t="inlineStr">
        <is>
          <t>Etiqueta legible de la primera variable.</t>
        </is>
      </c>
      <c r="F424" s="33" t="inlineStr">
        <is>
          <t>Texto</t>
        </is>
      </c>
      <c r="G424" s="33" t="inlineStr">
        <is>
          <t>—</t>
        </is>
      </c>
      <c r="H424" s="33" t="inlineStr">
        <is>
          <t>Densidad (hab/km²)</t>
        </is>
      </c>
      <c r="I424" s="33" t="inlineStr">
        <is>
          <t>No</t>
        </is>
      </c>
      <c r="J424" s="33" t="inlineStr">
        <is>
          <t>12 valores distintos</t>
        </is>
      </c>
      <c r="K424" s="33" t="inlineStr">
        <is>
          <t>Pública</t>
        </is>
      </c>
      <c r="L424" s="33" t="inlineStr">
        <is>
          <t>Traducción para la interfaz.</t>
        </is>
      </c>
      <c r="M424" s="33" t="inlineStr">
        <is>
          <t>¿Cómo mostrar la variable al usuario?</t>
        </is>
      </c>
    </row>
    <row r="425" ht="15.75" customHeight="1" s="24">
      <c r="A425" s="33" t="inlineStr">
        <is>
          <t>F20, F21, F22, F23, F24</t>
        </is>
      </c>
      <c r="B425" s="33" t="inlineStr">
        <is>
          <t>public/data/correlaciones.json</t>
        </is>
      </c>
      <c r="C425" s="33" t="inlineStr">
        <is>
          <t>pares_top[].etiqueta_y</t>
        </is>
      </c>
      <c r="D425" s="33" t="inlineStr">
        <is>
          <t>(calculado)</t>
        </is>
      </c>
      <c r="E425" s="33" t="inlineStr">
        <is>
          <t>Etiqueta legible de la segunda variable.</t>
        </is>
      </c>
      <c r="F425" s="33" t="inlineStr">
        <is>
          <t>Texto</t>
        </is>
      </c>
      <c r="G425" s="33" t="inlineStr">
        <is>
          <t>—</t>
        </is>
      </c>
      <c r="H425" s="33" t="inlineStr">
        <is>
          <t>Paradas por km²</t>
        </is>
      </c>
      <c r="I425" s="33" t="inlineStr">
        <is>
          <t>No</t>
        </is>
      </c>
      <c r="J425" s="33" t="inlineStr">
        <is>
          <t>11 valores distintos</t>
        </is>
      </c>
      <c r="K425" s="33" t="inlineStr">
        <is>
          <t>Pública</t>
        </is>
      </c>
      <c r="L425" s="33" t="inlineStr">
        <is>
          <t>Traducción para la interfaz.</t>
        </is>
      </c>
      <c r="M425" s="33" t="inlineStr">
        <is>
          <t>¿Cómo mostrar la variable al usuario?</t>
        </is>
      </c>
    </row>
    <row r="426" ht="15.75" customHeight="1" s="24">
      <c r="A426" s="33" t="inlineStr">
        <is>
          <t>F20, F21, F22, F23, F24</t>
        </is>
      </c>
      <c r="B426" s="33" t="inlineStr">
        <is>
          <t>public/data/correlaciones.json</t>
        </is>
      </c>
      <c r="C426" s="33" t="inlineStr">
        <is>
          <t>pares_top[].pearson_r</t>
        </is>
      </c>
      <c r="D426" s="33" t="inlineStr">
        <is>
          <t>(calculado)</t>
        </is>
      </c>
      <c r="E426" s="33" t="inlineStr">
        <is>
          <t>Correlación lineal de Pearson entre las dos variables.</t>
        </is>
      </c>
      <c r="F426" s="33" t="inlineStr">
        <is>
          <t>Decimal</t>
        </is>
      </c>
      <c r="G426" s="33" t="inlineStr">
        <is>
          <t>coeficiente −1 a 1</t>
        </is>
      </c>
      <c r="H426" s="33" t="inlineStr">
        <is>
          <t>0.9408</t>
        </is>
      </c>
      <c r="I426" s="33" t="inlineStr">
        <is>
          <t>No</t>
        </is>
      </c>
      <c r="J426" s="33" t="inlineStr">
        <is>
          <t>-0,8954 a 0,9408</t>
        </is>
      </c>
      <c r="K426" s="33" t="inlineStr">
        <is>
          <t>Pública</t>
        </is>
      </c>
      <c r="L426" s="33" t="inlineStr">
        <is>
          <t>scipy.stats.pearsonr sobre los 18 distritos.</t>
        </is>
      </c>
      <c r="M426" s="33" t="inlineStr">
        <is>
          <t>¿Qué tan fuerte es la relación lineal?</t>
        </is>
      </c>
    </row>
    <row r="427" ht="15.75" customHeight="1" s="24">
      <c r="A427" s="33" t="inlineStr">
        <is>
          <t>F20, F21, F22, F23, F24</t>
        </is>
      </c>
      <c r="B427" s="33" t="inlineStr">
        <is>
          <t>public/data/correlaciones.json</t>
        </is>
      </c>
      <c r="C427" s="33" t="inlineStr">
        <is>
          <t>pares_top[].pearson_p</t>
        </is>
      </c>
      <c r="D427" s="33" t="inlineStr">
        <is>
          <t>(calculado)</t>
        </is>
      </c>
      <c r="E427" s="33" t="inlineStr">
        <is>
          <t>Valor p de la correlación de Pearson.</t>
        </is>
      </c>
      <c r="F427" s="33" t="inlineStr">
        <is>
          <t>Decimal</t>
        </is>
      </c>
      <c r="G427" s="33" t="inlineStr">
        <is>
          <t>probabilidad 0–1</t>
        </is>
      </c>
      <c r="H427" s="33" t="inlineStr">
        <is>
          <t>0.0</t>
        </is>
      </c>
      <c r="I427" s="33" t="inlineStr">
        <is>
          <t>No</t>
        </is>
      </c>
      <c r="J427" s="33" t="inlineStr">
        <is>
          <t>0 a 0,00263</t>
        </is>
      </c>
      <c r="K427" s="33" t="inlineStr">
        <is>
          <t>Pública</t>
        </is>
      </c>
      <c r="L427" s="33" t="inlineStr">
        <is>
          <t>scipy.stats.pearsonr.</t>
        </is>
      </c>
      <c r="M427" s="33" t="inlineStr">
        <is>
          <t>¿La relación es estadísticamente significativa?</t>
        </is>
      </c>
    </row>
    <row r="428" ht="15.75" customHeight="1" s="24">
      <c r="A428" s="33" t="inlineStr">
        <is>
          <t>F20, F21, F22, F23, F24</t>
        </is>
      </c>
      <c r="B428" s="33" t="inlineStr">
        <is>
          <t>public/data/correlaciones.json</t>
        </is>
      </c>
      <c r="C428" s="33" t="inlineStr">
        <is>
          <t>pares_top[].spearman_rho</t>
        </is>
      </c>
      <c r="D428" s="33" t="inlineStr">
        <is>
          <t>(calculado)</t>
        </is>
      </c>
      <c r="E428" s="33" t="inlineStr">
        <is>
          <t>Correlación de rangos de Spearman.</t>
        </is>
      </c>
      <c r="F428" s="33" t="inlineStr">
        <is>
          <t>Decimal</t>
        </is>
      </c>
      <c r="G428" s="33" t="inlineStr">
        <is>
          <t>coeficiente −1 a 1</t>
        </is>
      </c>
      <c r="H428" s="33" t="inlineStr">
        <is>
          <t>0.9628</t>
        </is>
      </c>
      <c r="I428" s="33" t="inlineStr">
        <is>
          <t>No</t>
        </is>
      </c>
      <c r="J428" s="33" t="inlineStr">
        <is>
          <t>-0,8287 a 0,9628</t>
        </is>
      </c>
      <c r="K428" s="33" t="inlineStr">
        <is>
          <t>Pública</t>
        </is>
      </c>
      <c r="L428" s="33" t="inlineStr">
        <is>
          <t>scipy.stats.spearmanr.</t>
        </is>
      </c>
      <c r="M428" s="33" t="inlineStr">
        <is>
          <t>¿Hay relación monótona aunque no sea lineal?</t>
        </is>
      </c>
    </row>
    <row r="429" ht="15.75" customHeight="1" s="24">
      <c r="A429" s="33" t="inlineStr">
        <is>
          <t>F20, F21, F22, F23, F24</t>
        </is>
      </c>
      <c r="B429" s="33" t="inlineStr">
        <is>
          <t>public/data/correlaciones.json</t>
        </is>
      </c>
      <c r="C429" s="33" t="inlineStr">
        <is>
          <t>pares_top[].spearman_p</t>
        </is>
      </c>
      <c r="D429" s="33" t="inlineStr">
        <is>
          <t>(calculado)</t>
        </is>
      </c>
      <c r="E429" s="33" t="inlineStr">
        <is>
          <t>Valor p de la correlación de Spearman.</t>
        </is>
      </c>
      <c r="F429" s="33" t="inlineStr">
        <is>
          <t>Decimal</t>
        </is>
      </c>
      <c r="G429" s="33" t="inlineStr">
        <is>
          <t>probabilidad 0–1</t>
        </is>
      </c>
      <c r="H429" s="33" t="inlineStr">
        <is>
          <t>0.0</t>
        </is>
      </c>
      <c r="I429" s="33" t="inlineStr">
        <is>
          <t>No</t>
        </is>
      </c>
      <c r="J429" s="33" t="inlineStr">
        <is>
          <t>0 a 0,0122</t>
        </is>
      </c>
      <c r="K429" s="33" t="inlineStr">
        <is>
          <t>Pública</t>
        </is>
      </c>
      <c r="L429" s="33" t="inlineStr">
        <is>
          <t>scipy.stats.spearmanr.</t>
        </is>
      </c>
      <c r="M429" s="33" t="inlineStr">
        <is>
          <t>¿La relación de rangos es significativa?</t>
        </is>
      </c>
    </row>
    <row r="430" ht="15.75" customHeight="1" s="24">
      <c r="A430" s="33" t="inlineStr">
        <is>
          <t>F20, F21, F22, F23, F24</t>
        </is>
      </c>
      <c r="B430" s="33" t="inlineStr">
        <is>
          <t>public/data/correlaciones.json</t>
        </is>
      </c>
      <c r="C430" s="33" t="inlineStr">
        <is>
          <t>pares_top[].n</t>
        </is>
      </c>
      <c r="D430" s="33" t="inlineStr">
        <is>
          <t>(calculado)</t>
        </is>
      </c>
      <c r="E430" s="33" t="inlineStr">
        <is>
          <t>Número de observaciones usadas.</t>
        </is>
      </c>
      <c r="F430" s="33" t="inlineStr">
        <is>
          <t>Entero</t>
        </is>
      </c>
      <c r="G430" s="33" t="inlineStr">
        <is>
          <t>distritos</t>
        </is>
      </c>
      <c r="H430" s="33" t="inlineStr">
        <is>
          <t>18</t>
        </is>
      </c>
      <c r="I430" s="33" t="inlineStr">
        <is>
          <t>No</t>
        </is>
      </c>
      <c r="J430" s="33" t="inlineStr">
        <is>
          <t>18 a 18</t>
        </is>
      </c>
      <c r="K430" s="33" t="inlineStr">
        <is>
          <t>Pública</t>
        </is>
      </c>
      <c r="L430" s="33" t="inlineStr">
        <is>
          <t>Constante 18.</t>
        </is>
      </c>
      <c r="M430" s="33" t="inlineStr">
        <is>
          <t>¿Con cuántos datos se calculó?</t>
        </is>
      </c>
    </row>
    <row r="431" ht="15.75" customHeight="1" s="24">
      <c r="A431" s="33" t="inlineStr">
        <is>
          <t>F20, F21, F22, F23, F24</t>
        </is>
      </c>
      <c r="B431" s="33" t="inlineStr">
        <is>
          <t>public/data/correlaciones.json</t>
        </is>
      </c>
      <c r="C431" s="33" t="inlineStr">
        <is>
          <t>pares_top[].significativo_5pct</t>
        </is>
      </c>
      <c r="D431" s="33" t="inlineStr">
        <is>
          <t>(calculado)</t>
        </is>
      </c>
      <c r="E431" s="33" t="inlineStr">
        <is>
          <t>Indica si el valor p de Pearson es menor que 0,05.</t>
        </is>
      </c>
      <c r="F431" s="33" t="inlineStr">
        <is>
          <t>Booleano</t>
        </is>
      </c>
      <c r="G431" s="33" t="inlineStr">
        <is>
          <t>booleano</t>
        </is>
      </c>
      <c r="H431" s="33" t="inlineStr">
        <is>
          <t>True</t>
        </is>
      </c>
      <c r="I431" s="33" t="inlineStr">
        <is>
          <t>No</t>
        </is>
      </c>
      <c r="J431" s="33" t="inlineStr">
        <is>
          <t>true / false</t>
        </is>
      </c>
      <c r="K431" s="33" t="inlineStr">
        <is>
          <t>Pública</t>
        </is>
      </c>
      <c r="L431" s="33" t="inlineStr">
        <is>
          <t>pearson_p &lt; 0,05.</t>
        </is>
      </c>
      <c r="M431" s="33" t="inlineStr">
        <is>
          <t>¿Se puede confiar en la relación?</t>
        </is>
      </c>
    </row>
    <row r="432" ht="15.75" customHeight="1" s="24">
      <c r="A432" s="33" t="inlineStr">
        <is>
          <t>F19</t>
        </is>
      </c>
      <c r="B432" s="33" t="inlineStr">
        <is>
          <t>public/data/correlaciones.json</t>
        </is>
      </c>
      <c r="C432" s="33" t="inlineStr">
        <is>
          <t>dispersion[].codigo</t>
        </is>
      </c>
      <c r="D432" s="33" t="inlineStr">
        <is>
          <t>dc_class / 1ª letra de CACODE</t>
        </is>
      </c>
      <c r="E432" s="33" t="inlineStr">
        <is>
          <t>Código de letra del distrito (A–T) usado por el censo y la EAC.</t>
        </is>
      </c>
      <c r="F432" s="33" t="inlineStr">
        <is>
          <t>Texto</t>
        </is>
      </c>
      <c r="G432" s="33" t="inlineStr">
        <is>
          <t>—</t>
        </is>
      </c>
      <c r="H432" s="33" t="inlineStr">
        <is>
          <t>A</t>
        </is>
      </c>
      <c r="I432" s="33" t="inlineStr">
        <is>
          <t>No</t>
        </is>
      </c>
      <c r="J432" s="33" t="inlineStr">
        <is>
          <t>18 valores distintos</t>
        </is>
      </c>
      <c r="K432" s="33" t="inlineStr">
        <is>
          <t>Pública</t>
        </is>
      </c>
      <c r="L432" s="33" t="inlineStr">
        <is>
          <t>Derivado de la primera letra del código DCCA; se usa como llave de unión entre todas las tablas.</t>
        </is>
      </c>
      <c r="M432" s="33" t="inlineStr">
        <is>
          <t>¿A qué distrito pertenece este registro?</t>
        </is>
      </c>
    </row>
    <row r="433" ht="15.75" customHeight="1" s="24">
      <c r="A433" s="33" t="inlineStr">
        <is>
          <t>F19</t>
        </is>
      </c>
      <c r="B433" s="33" t="inlineStr">
        <is>
          <t>public/data/correlaciones.json</t>
        </is>
      </c>
      <c r="C433" s="33" t="inlineStr">
        <is>
          <t>dispersion[].distrito_es</t>
        </is>
      </c>
      <c r="D433" s="33" t="inlineStr">
        <is>
          <t>(no existe en la fuente)</t>
        </is>
      </c>
      <c r="E433" s="33" t="inlineStr">
        <is>
          <t>Nombre del distrito en español para la interfaz.</t>
        </is>
      </c>
      <c r="F433" s="33" t="inlineStr">
        <is>
          <t>Texto</t>
        </is>
      </c>
      <c r="G433" s="33" t="inlineStr">
        <is>
          <t>—</t>
        </is>
      </c>
      <c r="H433" s="33" t="inlineStr">
        <is>
          <t>Centro y Oeste</t>
        </is>
      </c>
      <c r="I433" s="33" t="inlineStr">
        <is>
          <t>No</t>
        </is>
      </c>
      <c r="J433" s="33" t="inlineStr">
        <is>
          <t>18 valores distintos</t>
        </is>
      </c>
      <c r="K433" s="33" t="inlineStr">
        <is>
          <t>Pública</t>
        </is>
      </c>
      <c r="L433" s="33" t="inlineStr">
        <is>
          <t>Traducción propia del nombre inglés.</t>
        </is>
      </c>
      <c r="M433" s="33" t="inlineStr">
        <is>
          <t>¿Cómo mostrar el distrito al usuario?</t>
        </is>
      </c>
    </row>
    <row r="434" ht="15.75" customHeight="1" s="24">
      <c r="A434" s="33" t="inlineStr">
        <is>
          <t>F20, F22</t>
        </is>
      </c>
      <c r="B434" s="33" t="inlineStr">
        <is>
          <t>public/data/correlaciones.json</t>
        </is>
      </c>
      <c r="C434" s="33" t="inlineStr">
        <is>
          <t>dispersion[].densidad_hab_km2</t>
        </is>
      </c>
      <c r="D434" s="33" t="inlineStr">
        <is>
          <t>(calculado)</t>
        </is>
      </c>
      <c r="E434" s="33" t="inlineStr">
        <is>
          <t>Habitantes por kilómetro cuadrado de tierra.</t>
        </is>
      </c>
      <c r="F434" s="33" t="inlineStr">
        <is>
          <t>Decimal</t>
        </is>
      </c>
      <c r="G434" s="33" t="inlineStr">
        <is>
          <t>hab/km²</t>
        </is>
      </c>
      <c r="H434" s="33" t="inlineStr">
        <is>
          <t>18801.0</t>
        </is>
      </c>
      <c r="I434" s="33" t="inlineStr">
        <is>
          <t>No</t>
        </is>
      </c>
      <c r="J434" s="33" t="inlineStr">
        <is>
          <t>1.014 a 5,968e+04</t>
        </is>
      </c>
      <c r="K434" s="33" t="inlineStr">
        <is>
          <t>Pública</t>
        </is>
      </c>
      <c r="L434" s="33" t="inlineStr">
        <is>
          <t>Copiado de curated/demografia/distritos_censo2021.csv (unión por codigo). Origen: poblacion_2021 / area_km2_oficial, redondeado a entero.</t>
        </is>
      </c>
      <c r="M434" s="33" t="inlineStr">
        <is>
          <t>¿Qué tan denso es cada distrito? (Wiki 1.2)</t>
        </is>
      </c>
    </row>
    <row r="435" ht="15.75" customHeight="1" s="24">
      <c r="A435" s="33" t="inlineStr">
        <is>
          <t>F20</t>
        </is>
      </c>
      <c r="B435" s="33" t="inlineStr">
        <is>
          <t>public/data/correlaciones.json</t>
        </is>
      </c>
      <c r="C435" s="33" t="inlineStr">
        <is>
          <t>dispersion[].edad_mediana</t>
        </is>
      </c>
      <c r="D435" s="33" t="inlineStr">
        <is>
          <t>t_ma (Censo 2021 (DC_21C)) / lbnp_ma_t (Encuesta General de Hogares (DC_GHS))</t>
        </is>
      </c>
      <c r="E435" s="33" t="inlineStr">
        <is>
          <t>Edad que divide a la población en dos mitades.</t>
        </is>
      </c>
      <c r="F435" s="33" t="inlineStr">
        <is>
          <t>Decimal</t>
        </is>
      </c>
      <c r="G435" s="33" t="inlineStr">
        <is>
          <t>años</t>
        </is>
      </c>
      <c r="H435" s="33" t="inlineStr">
        <is>
          <t>44.8</t>
        </is>
      </c>
      <c r="I435" s="33" t="inlineStr">
        <is>
          <t>No</t>
        </is>
      </c>
      <c r="J435" s="33" t="inlineStr">
        <is>
          <t>42,7 a 50,1</t>
        </is>
      </c>
      <c r="K435" s="33" t="inlineStr">
        <is>
          <t>Pública</t>
        </is>
      </c>
      <c r="L435" s="33" t="inlineStr">
        <is>
          <t>Copiado de curated/demografia/distritos_censo2021.csv (unión por codigo). Origen: Renombrado; en el panel GHS la fuente la publica redondeada a entero.</t>
        </is>
      </c>
      <c r="M435" s="33" t="inlineStr">
        <is>
          <t>¿Qué distritos están más envejecidos? (Wiki 1.3)</t>
        </is>
      </c>
    </row>
    <row r="436" ht="15.75" customHeight="1" s="24">
      <c r="A436" s="33" t="inlineStr">
        <is>
          <t>F20</t>
        </is>
      </c>
      <c r="B436" s="33" t="inlineStr">
        <is>
          <t>public/data/correlaciones.json</t>
        </is>
      </c>
      <c r="C436" s="33" t="inlineStr">
        <is>
          <t>dispersion[].pct_65_mas</t>
        </is>
      </c>
      <c r="D436" s="33" t="inlineStr">
        <is>
          <t>(calculado)</t>
        </is>
      </c>
      <c r="E436" s="33" t="inlineStr">
        <is>
          <t>Porcentaje de la población con 65 años o más.</t>
        </is>
      </c>
      <c r="F436" s="33" t="inlineStr">
        <is>
          <t>Decimal</t>
        </is>
      </c>
      <c r="G436" s="33" t="inlineStr">
        <is>
          <t>%</t>
        </is>
      </c>
      <c r="H436" s="33" t="inlineStr">
        <is>
          <t>19.28</t>
        </is>
      </c>
      <c r="I436" s="33" t="inlineStr">
        <is>
          <t>No</t>
        </is>
      </c>
      <c r="J436" s="33" t="inlineStr">
        <is>
          <t>14,73 a 23,36</t>
        </is>
      </c>
      <c r="K436" s="33" t="inlineStr">
        <is>
          <t>Pública</t>
        </is>
      </c>
      <c r="L436" s="33" t="inlineStr">
        <is>
          <t>Copiado de curated/demografia/distritos_censo2021.csv (unión por codigo). Origen: 100 × age_5 / t_pop, 2 decimales.</t>
        </is>
      </c>
      <c r="M436" s="33" t="inlineStr">
        <is>
          <t>¿Qué distritos están más envejecidos? (Wiki 1.3)</t>
        </is>
      </c>
    </row>
    <row r="437" ht="15.75" customHeight="1" s="24">
      <c r="A437" s="33" t="inlineStr">
        <is>
          <t>F20</t>
        </is>
      </c>
      <c r="B437" s="33" t="inlineStr">
        <is>
          <t>public/data/correlaciones.json</t>
        </is>
      </c>
      <c r="C437" s="33" t="inlineStr">
        <is>
          <t>dispersion[].pct_0_14</t>
        </is>
      </c>
      <c r="D437" s="33" t="inlineStr">
        <is>
          <t>(calculado)</t>
        </is>
      </c>
      <c r="E437" s="33" t="inlineStr">
        <is>
          <t>Porcentaje de la población con 0–14 años.</t>
        </is>
      </c>
      <c r="F437" s="33" t="inlineStr">
        <is>
          <t>Decimal</t>
        </is>
      </c>
      <c r="G437" s="33" t="inlineStr">
        <is>
          <t>%</t>
        </is>
      </c>
      <c r="H437" s="33" t="inlineStr">
        <is>
          <t>10.33</t>
        </is>
      </c>
      <c r="I437" s="33" t="inlineStr">
        <is>
          <t>No</t>
        </is>
      </c>
      <c r="J437" s="33" t="inlineStr">
        <is>
          <t>8,92 a 12,83</t>
        </is>
      </c>
      <c r="K437" s="33" t="inlineStr">
        <is>
          <t>Pública</t>
        </is>
      </c>
      <c r="L437" s="33" t="inlineStr">
        <is>
          <t>Copiado de curated/demografia/distritos_censo2021.csv (unión por codigo). Origen: 100 × age_1 / t_pop, 2 decimales.</t>
        </is>
      </c>
      <c r="M437" s="33" t="inlineStr">
        <is>
          <t>¿Qué distritos tienen más peso de niños? (Wiki 1.10)</t>
        </is>
      </c>
    </row>
    <row r="438" ht="15.75" customHeight="1" s="24">
      <c r="A438" s="33" t="inlineStr">
        <is>
          <t>F20</t>
        </is>
      </c>
      <c r="B438" s="33" t="inlineStr">
        <is>
          <t>public/data/correlaciones.json</t>
        </is>
      </c>
      <c r="C438" s="33" t="inlineStr">
        <is>
          <t>dispersion[].tamano_medio_hogar</t>
        </is>
      </c>
      <c r="D438" s="33" t="inlineStr">
        <is>
          <t>adhz</t>
        </is>
      </c>
      <c r="E438" s="33" t="inlineStr">
        <is>
          <t>Promedio de personas por hogar doméstico.</t>
        </is>
      </c>
      <c r="F438" s="33" t="inlineStr">
        <is>
          <t>Decimal</t>
        </is>
      </c>
      <c r="G438" s="33" t="inlineStr">
        <is>
          <t>personas/hogar</t>
        </is>
      </c>
      <c r="H438" s="33" t="inlineStr">
        <is>
          <t>2.6</t>
        </is>
      </c>
      <c r="I438" s="33" t="inlineStr">
        <is>
          <t>No</t>
        </is>
      </c>
      <c r="J438" s="33" t="inlineStr">
        <is>
          <t>2,5 a 2,9</t>
        </is>
      </c>
      <c r="K438" s="33" t="inlineStr">
        <is>
          <t>Pública</t>
        </is>
      </c>
      <c r="L438" s="33" t="inlineStr">
        <is>
          <t>Copiado de curated/demografia/distritos_censo2021.csv (unión por codigo). Origen: Renombrado.</t>
        </is>
      </c>
      <c r="M438" s="33" t="inlineStr">
        <is>
          <t>¿Dónde viven hogares más grandes o más pequeños? (Wiki 2.8)</t>
        </is>
      </c>
    </row>
    <row r="439" ht="15.75" customHeight="1" s="24">
      <c r="A439" s="33" t="inlineStr">
        <is>
          <t>F20</t>
        </is>
      </c>
      <c r="B439" s="33" t="inlineStr">
        <is>
          <t>public/data/correlaciones.json</t>
        </is>
      </c>
      <c r="C439" s="33" t="inlineStr">
        <is>
          <t>dispersion[].pct_titulo_universitario_15_mas</t>
        </is>
      </c>
      <c r="D439" s="33" t="inlineStr">
        <is>
          <t>(calculado)</t>
        </is>
      </c>
      <c r="E439" s="33" t="inlineStr">
        <is>
          <t>Porcentaje de la población de 15+ con título universitario.</t>
        </is>
      </c>
      <c r="F439" s="33" t="inlineStr">
        <is>
          <t>Decimal</t>
        </is>
      </c>
      <c r="G439" s="33" t="inlineStr">
        <is>
          <t>%</t>
        </is>
      </c>
      <c r="H439" s="33" t="inlineStr">
        <is>
          <t>42.18</t>
        </is>
      </c>
      <c r="I439" s="33" t="inlineStr">
        <is>
          <t>No</t>
        </is>
      </c>
      <c r="J439" s="33" t="inlineStr">
        <is>
          <t>16,42 a 42,43</t>
        </is>
      </c>
      <c r="K439" s="33" t="inlineStr">
        <is>
          <t>Pública</t>
        </is>
      </c>
      <c r="L439" s="33" t="inlineStr">
        <is>
          <t>Copiado de curated/demografia/distritos_censo2021.csv (unión por codigo). Origen: 100 × edu_deg / (t_pop − age_1).</t>
        </is>
      </c>
      <c r="M439" s="33" t="inlineStr">
        <is>
          <t>¿Qué distritos tienen más capital humano? (Wiki 1.6)</t>
        </is>
      </c>
    </row>
    <row r="440" ht="15.75" customHeight="1" s="24">
      <c r="A440" s="33" t="inlineStr">
        <is>
          <t>F20</t>
        </is>
      </c>
      <c r="B440" s="33" t="inlineStr">
        <is>
          <t>public/data/correlaciones.json</t>
        </is>
      </c>
      <c r="C440" s="33" t="inlineStr">
        <is>
          <t>dispersion[].pct_nacida_en_hk</t>
        </is>
      </c>
      <c r="D440" s="33" t="inlineStr">
        <is>
          <t>(calculado)</t>
        </is>
      </c>
      <c r="E440" s="33" t="inlineStr">
        <is>
          <t>Porcentaje de la población nacida en Hong Kong.</t>
        </is>
      </c>
      <c r="F440" s="33" t="inlineStr">
        <is>
          <t>Decimal</t>
        </is>
      </c>
      <c r="G440" s="33" t="inlineStr">
        <is>
          <t>%</t>
        </is>
      </c>
      <c r="H440" s="33" t="inlineStr">
        <is>
          <t>53.54</t>
        </is>
      </c>
      <c r="I440" s="33" t="inlineStr">
        <is>
          <t>No</t>
        </is>
      </c>
      <c r="J440" s="33" t="inlineStr">
        <is>
          <t>52,55 a 68,56</t>
        </is>
      </c>
      <c r="K440" s="33" t="inlineStr">
        <is>
          <t>Pública</t>
        </is>
      </c>
      <c r="L440" s="33" t="inlineStr">
        <is>
          <t>Copiado de curated/demografia/distritos_censo2021.csv (unión por codigo). Origen: 100 × born_hk / t_pop.</t>
        </is>
      </c>
      <c r="M440" s="33" t="inlineStr">
        <is>
          <t>¿Qué distritos tienen más población nacida fuera? (Wiki 1.9)</t>
        </is>
      </c>
    </row>
    <row r="441" ht="15.75" customHeight="1" s="24">
      <c r="A441" s="33" t="inlineStr">
        <is>
          <t>F20</t>
        </is>
      </c>
      <c r="B441" s="33" t="inlineStr">
        <is>
          <t>public/data/correlaciones.json</t>
        </is>
      </c>
      <c r="C441" s="33" t="inlineStr">
        <is>
          <t>dispersion[].pct_vivienda_publica_alquiler</t>
        </is>
      </c>
      <c r="D441" s="33" t="inlineStr">
        <is>
          <t>(calculado)</t>
        </is>
      </c>
      <c r="E441" s="33" t="inlineStr">
        <is>
          <t>Porcentaje de la población en vivienda pública de alquiler.</t>
        </is>
      </c>
      <c r="F441" s="33" t="inlineStr">
        <is>
          <t>Decimal</t>
        </is>
      </c>
      <c r="G441" s="33" t="inlineStr">
        <is>
          <t>%</t>
        </is>
      </c>
      <c r="H441" s="33" t="inlineStr">
        <is>
          <t>3.47</t>
        </is>
      </c>
      <c r="I441" s="33" t="inlineStr">
        <is>
          <t>No</t>
        </is>
      </c>
      <c r="J441" s="33" t="inlineStr">
        <is>
          <t>2,98 a 57,6</t>
        </is>
      </c>
      <c r="K441" s="33" t="inlineStr">
        <is>
          <t>Pública</t>
        </is>
      </c>
      <c r="L441" s="33" t="inlineStr">
        <is>
          <t>Copiado de curated/demografia/distritos_censo2021.csv (unión por codigo). Origen: 100 × pop_pub / t_pop.</t>
        </is>
      </c>
      <c r="M441" s="33" t="inlineStr">
        <is>
          <t>¿Qué distritos dependen más de la vivienda pública? (Wiki 2.4, 2.5)</t>
        </is>
      </c>
    </row>
    <row r="442" ht="15.75" customHeight="1" s="24">
      <c r="A442" s="33" t="inlineStr">
        <is>
          <t>F20</t>
        </is>
      </c>
      <c r="B442" s="33" t="inlineStr">
        <is>
          <t>public/data/correlaciones.json</t>
        </is>
      </c>
      <c r="C442" s="33" t="inlineStr">
        <is>
          <t>dispersion[].pct_vivienda_privada</t>
        </is>
      </c>
      <c r="D442" s="33" t="inlineStr">
        <is>
          <t>(calculado)</t>
        </is>
      </c>
      <c r="E442" s="33" t="inlineStr">
        <is>
          <t>Porcentaje de la población en vivienda privada permanente.</t>
        </is>
      </c>
      <c r="F442" s="33" t="inlineStr">
        <is>
          <t>Decimal</t>
        </is>
      </c>
      <c r="G442" s="33" t="inlineStr">
        <is>
          <t>%</t>
        </is>
      </c>
      <c r="H442" s="33" t="inlineStr">
        <is>
          <t>94.48</t>
        </is>
      </c>
      <c r="I442" s="33" t="inlineStr">
        <is>
          <t>No</t>
        </is>
      </c>
      <c r="J442" s="33" t="inlineStr">
        <is>
          <t>18,9 a 95,22</t>
        </is>
      </c>
      <c r="K442" s="33" t="inlineStr">
        <is>
          <t>Pública</t>
        </is>
      </c>
      <c r="L442" s="33" t="inlineStr">
        <is>
          <t>Copiado de curated/demografia/distritos_censo2021.csv (unión por codigo). Origen: 100 × pop_pri / t_pop.</t>
        </is>
      </c>
      <c r="M442" s="33" t="inlineStr">
        <is>
          <t>¿Dónde domina el mercado privado de vivienda? (Wiki 2.4)</t>
        </is>
      </c>
    </row>
    <row r="443" ht="15.75" customHeight="1" s="24">
      <c r="A443" s="33" t="inlineStr">
        <is>
          <t>F21</t>
        </is>
      </c>
      <c r="B443" s="33" t="inlineStr">
        <is>
          <t>public/data/correlaciones.json</t>
        </is>
      </c>
      <c r="C443" s="33" t="inlineStr">
        <is>
          <t>dispersion[].ingreso_mediano_hogar_hkd_2025</t>
        </is>
      </c>
      <c r="D443" s="33" t="inlineStr">
        <is>
          <t>ma_hh (year=2025)</t>
        </is>
      </c>
      <c r="E443" s="33" t="inlineStr">
        <is>
          <t>Ingreso mensual mediano de los hogares domésticos en 2025.</t>
        </is>
      </c>
      <c r="F443" s="33" t="inlineStr">
        <is>
          <t>Entero</t>
        </is>
      </c>
      <c r="G443" s="33" t="inlineStr">
        <is>
          <t>HK$ por mes</t>
        </is>
      </c>
      <c r="H443" s="33" t="inlineStr">
        <is>
          <t>45000</t>
        </is>
      </c>
      <c r="I443" s="33" t="inlineStr">
        <is>
          <t>No</t>
        </is>
      </c>
      <c r="J443" s="33" t="inlineStr">
        <is>
          <t>24.900 a 45.000</t>
        </is>
      </c>
      <c r="K443" s="33" t="inlineStr">
        <is>
          <t>Pública</t>
        </is>
      </c>
      <c r="L443" s="33" t="inlineStr">
        <is>
          <t>Copiado de curated/economia/distritos_economia.csv (unión por codigo). Origen: Filtrado al último año del panel GHS.</t>
        </is>
      </c>
      <c r="M443" s="33" t="inlineStr">
        <is>
          <t>¿Qué distritos tienen menor ingreso hoy? (Wiki 1.7)</t>
        </is>
      </c>
    </row>
    <row r="444" ht="15.75" customHeight="1" s="24">
      <c r="A444" s="33" t="inlineStr">
        <is>
          <t>F20</t>
        </is>
      </c>
      <c r="B444" s="33" t="inlineStr">
        <is>
          <t>public/data/correlaciones.json</t>
        </is>
      </c>
      <c r="C444" s="33" t="inlineStr">
        <is>
          <t>dispersion[].ingreso_mediano_mensual_empleo_hkd_2021</t>
        </is>
      </c>
      <c r="D444" s="33" t="inlineStr">
        <is>
          <t>t_mmearn</t>
        </is>
      </c>
      <c r="E444" s="33" t="inlineStr">
        <is>
          <t>Ingreso mensual mediano por empleo principal de la población ocupada (2021).</t>
        </is>
      </c>
      <c r="F444" s="33" t="inlineStr">
        <is>
          <t>Entero</t>
        </is>
      </c>
      <c r="G444" s="33" t="inlineStr">
        <is>
          <t>HK$ por mes</t>
        </is>
      </c>
      <c r="H444" s="33" t="inlineStr">
        <is>
          <t>21250</t>
        </is>
      </c>
      <c r="I444" s="33" t="inlineStr">
        <is>
          <t>No</t>
        </is>
      </c>
      <c r="J444" s="33" t="inlineStr">
        <is>
          <t>16.000 a 21.250</t>
        </is>
      </c>
      <c r="K444" s="33" t="inlineStr">
        <is>
          <t>Pública</t>
        </is>
      </c>
      <c r="L444" s="33" t="inlineStr">
        <is>
          <t>Copiado de curated/economia/distritos_economia.csv (unión por codigo). Origen: Renombrado.</t>
        </is>
      </c>
      <c r="M444" s="33" t="inlineStr">
        <is>
          <t>¿Cuánto gana un trabajador típico de cada distrito? (Wiki 1.7)</t>
        </is>
      </c>
    </row>
    <row r="445" ht="15.75" customHeight="1" s="24">
      <c r="A445" s="33" t="inlineStr">
        <is>
          <t>F21</t>
        </is>
      </c>
      <c r="B445" s="33" t="inlineStr">
        <is>
          <t>public/data/correlaciones.json</t>
        </is>
      </c>
      <c r="C445" s="33" t="inlineStr">
        <is>
          <t>dispersion[].tasa_participacion_laboral_pct_2025</t>
        </is>
      </c>
      <c r="D445" s="33" t="inlineStr">
        <is>
          <t>t_lfpr (year=2025)</t>
        </is>
      </c>
      <c r="E445" s="33" t="inlineStr">
        <is>
          <t>Tasa de participación laboral en 2025.</t>
        </is>
      </c>
      <c r="F445" s="33" t="inlineStr">
        <is>
          <t>Decimal</t>
        </is>
      </c>
      <c r="G445" s="33" t="inlineStr">
        <is>
          <t>%</t>
        </is>
      </c>
      <c r="H445" s="33" t="inlineStr">
        <is>
          <t>60.1</t>
        </is>
      </c>
      <c r="I445" s="33" t="inlineStr">
        <is>
          <t>No</t>
        </is>
      </c>
      <c r="J445" s="33" t="inlineStr">
        <is>
          <t>52,7 a 62,7</t>
        </is>
      </c>
      <c r="K445" s="33" t="inlineStr">
        <is>
          <t>Pública</t>
        </is>
      </c>
      <c r="L445" s="33" t="inlineStr">
        <is>
          <t>Copiado de curated/economia/distritos_economia.csv (unión por codigo). Origen: Filtrado al último año del panel GHS.</t>
        </is>
      </c>
      <c r="M445" s="33" t="inlineStr">
        <is>
          <t>¿Cómo está hoy la participación laboral por distrito?</t>
        </is>
      </c>
    </row>
    <row r="446" ht="15.75" customHeight="1" s="24">
      <c r="A446" s="33" t="inlineStr">
        <is>
          <t>F21</t>
        </is>
      </c>
      <c r="B446" s="33" t="inlineStr">
        <is>
          <t>public/data/correlaciones.json</t>
        </is>
      </c>
      <c r="C446" s="33" t="inlineStr">
        <is>
          <t>dispersion[].var_ingreso_2016_2025_pct</t>
        </is>
      </c>
      <c r="D446" s="33" t="inlineStr">
        <is>
          <t>(calculado de ma_hh)</t>
        </is>
      </c>
      <c r="E446" s="33" t="inlineStr">
        <is>
          <t>Variación porcentual nominal del ingreso mediano del hogar entre 2016 y 2025.</t>
        </is>
      </c>
      <c r="F446" s="33" t="inlineStr">
        <is>
          <t>Decimal</t>
        </is>
      </c>
      <c r="G446" s="33" t="inlineStr">
        <is>
          <t>%</t>
        </is>
      </c>
      <c r="H446" s="33" t="inlineStr">
        <is>
          <t>13.92</t>
        </is>
      </c>
      <c r="I446" s="33" t="inlineStr">
        <is>
          <t>No</t>
        </is>
      </c>
      <c r="J446" s="33" t="inlineStr">
        <is>
          <t>6,71 a 31,58</t>
        </is>
      </c>
      <c r="K446" s="33" t="inlineStr">
        <is>
          <t>Pública</t>
        </is>
      </c>
      <c r="L446" s="33" t="inlineStr">
        <is>
          <t>Copiado de curated/economia/distritos_economia.csv (unión por codigo). Origen: 100 × (ma_hh 2025 / ma_hh 2016 − 1); no ajustado por inflación.</t>
        </is>
      </c>
      <c r="M446" s="33" t="inlineStr">
        <is>
          <t>¿Dónde creció más el ingreso? (Wiki 1.7)</t>
        </is>
      </c>
    </row>
    <row r="447" ht="15.75" customHeight="1" s="24">
      <c r="A447" s="33" t="inlineStr">
        <is>
          <t>F21</t>
        </is>
      </c>
      <c r="B447" s="33" t="inlineStr">
        <is>
          <t>public/data/correlaciones.json</t>
        </is>
      </c>
      <c r="C447" s="33" t="inlineStr">
        <is>
          <t>dispersion[].var_pob_2016_2025_pct</t>
        </is>
      </c>
      <c r="D447" s="33" t="inlineStr">
        <is>
          <t>(calculado de my_lp)</t>
        </is>
      </c>
      <c r="E447" s="33" t="inlineStr">
        <is>
          <t>Variación porcentual de la población terrestre entre 2016 y 2025.</t>
        </is>
      </c>
      <c r="F447" s="33" t="inlineStr">
        <is>
          <t>Decimal</t>
        </is>
      </c>
      <c r="G447" s="33" t="inlineStr">
        <is>
          <t>%</t>
        </is>
      </c>
      <c r="H447" s="33" t="inlineStr">
        <is>
          <t>-4.69</t>
        </is>
      </c>
      <c r="I447" s="33" t="inlineStr">
        <is>
          <t>No</t>
        </is>
      </c>
      <c r="J447" s="33" t="inlineStr">
        <is>
          <t>-12,07 a 26,53</t>
        </is>
      </c>
      <c r="K447" s="33" t="inlineStr">
        <is>
          <t>Pública</t>
        </is>
      </c>
      <c r="L447" s="33" t="inlineStr">
        <is>
          <t>Copiado de curated/demografia/distritos_censo2021.csv (unión por codigo). Origen: 100 × (my_lp 2025 / my_lp 2016 − 1).</t>
        </is>
      </c>
      <c r="M447" s="33" t="inlineStr">
        <is>
          <t>¿Qué distritos crecen y cuáles pierden población? (Wiki 1.1, 1.9)</t>
        </is>
      </c>
    </row>
    <row r="448" ht="15.75" customHeight="1" s="24">
      <c r="A448" s="33" t="inlineStr">
        <is>
          <t>F23, F20</t>
        </is>
      </c>
      <c r="B448" s="33" t="inlineStr">
        <is>
          <t>public/data/correlaciones.json</t>
        </is>
      </c>
      <c r="C448" s="33" t="inlineStr">
        <is>
          <t>dispersion[].paradas_por_10k_hab</t>
        </is>
      </c>
      <c r="D448" s="33" t="inlineStr">
        <is>
          <t>(calculado)</t>
        </is>
      </c>
      <c r="E448" s="33" t="inlineStr">
        <is>
          <t>Paradas de transporte por cada 10.000 habitantes.</t>
        </is>
      </c>
      <c r="F448" s="33" t="inlineStr">
        <is>
          <t>Decimal</t>
        </is>
      </c>
      <c r="G448" s="33" t="inlineStr">
        <is>
          <t>paradas por 10.000 hab</t>
        </is>
      </c>
      <c r="H448" s="33" t="inlineStr">
        <is>
          <t>28.65</t>
        </is>
      </c>
      <c r="I448" s="33" t="inlineStr">
        <is>
          <t>No</t>
        </is>
      </c>
      <c r="J448" s="33" t="inlineStr">
        <is>
          <t>15,41 a 37,61</t>
        </is>
      </c>
      <c r="K448" s="33" t="inlineStr">
        <is>
          <t>Pública</t>
        </is>
      </c>
      <c r="L448" s="33" t="inlineStr">
        <is>
          <t>Copiado de curated/infraestructura/distritos_infraestructura.csv (unión por codigo). Origen: 10.000 × paradas_transporte / poblacion_2021.</t>
        </is>
      </c>
      <c r="M448" s="33" t="inlineStr">
        <is>
          <t>¿Qué distritos tienen menos transporte por habitante?</t>
        </is>
      </c>
    </row>
    <row r="449" ht="15.75" customHeight="1" s="24">
      <c r="A449" s="33" t="inlineStr">
        <is>
          <t>F23, F22</t>
        </is>
      </c>
      <c r="B449" s="33" t="inlineStr">
        <is>
          <t>public/data/correlaciones.json</t>
        </is>
      </c>
      <c r="C449" s="33" t="inlineStr">
        <is>
          <t>dispersion[].paradas_por_km2</t>
        </is>
      </c>
      <c r="D449" s="33" t="inlineStr">
        <is>
          <t>(calculado)</t>
        </is>
      </c>
      <c r="E449" s="33" t="inlineStr">
        <is>
          <t>Paradas de transporte por km² de tierra.</t>
        </is>
      </c>
      <c r="F449" s="33" t="inlineStr">
        <is>
          <t>Decimal</t>
        </is>
      </c>
      <c r="G449" s="33" t="inlineStr">
        <is>
          <t>paradas/km²</t>
        </is>
      </c>
      <c r="H449" s="33" t="inlineStr">
        <is>
          <t>53.86</t>
        </is>
      </c>
      <c r="I449" s="33" t="inlineStr">
        <is>
          <t>No</t>
        </is>
      </c>
      <c r="J449" s="33" t="inlineStr">
        <is>
          <t>2,52 a 122,8</t>
        </is>
      </c>
      <c r="K449" s="33" t="inlineStr">
        <is>
          <t>Pública</t>
        </is>
      </c>
      <c r="L449" s="33" t="inlineStr">
        <is>
          <t>Copiado de curated/infraestructura/distritos_infraestructura.csv (unión por codigo). Origen: paradas_transporte / area_km2_oficial.</t>
        </is>
      </c>
      <c r="M449" s="33" t="inlineStr">
        <is>
          <t>¿Dónde es más densa la red de transporte?</t>
        </is>
      </c>
    </row>
    <row r="450" ht="15.75" customHeight="1" s="24">
      <c r="A450" s="33" t="inlineStr">
        <is>
          <t>F24, F19</t>
        </is>
      </c>
      <c r="B450" s="33" t="inlineStr">
        <is>
          <t>public/data/correlaciones.json</t>
        </is>
      </c>
      <c r="C450" s="33" t="inlineStr">
        <is>
          <t>dispersion[].dist_media_hospital_km</t>
        </is>
      </c>
      <c r="D450" s="33" t="inlineStr">
        <is>
          <t>(calculado)</t>
        </is>
      </c>
      <c r="E450" s="33" t="inlineStr">
        <is>
          <t>Distancia media de las circunscripciones del distrito a la urgencia más cercana.</t>
        </is>
      </c>
      <c r="F450" s="33" t="inlineStr">
        <is>
          <t>Decimal</t>
        </is>
      </c>
      <c r="G450" s="33" t="inlineStr">
        <is>
          <t>km</t>
        </is>
      </c>
      <c r="H450" s="33" t="inlineStr">
        <is>
          <t>2.23</t>
        </is>
      </c>
      <c r="I450" s="33" t="inlineStr">
        <is>
          <t>No</t>
        </is>
      </c>
      <c r="J450" s="33" t="inlineStr">
        <is>
          <t>0,89 a 3,74</t>
        </is>
      </c>
      <c r="K450" s="33" t="inlineStr">
        <is>
          <t>Pública</t>
        </is>
      </c>
      <c r="L450" s="33" t="inlineStr">
        <is>
          <t>Copiado de curated/infraestructura/distritos_infraestructura.csv (unión por codigo). Origen: Promedio por distrito de distancia_hospital_m / 1000.</t>
        </is>
      </c>
      <c r="M450" s="33" t="inlineStr">
        <is>
          <t>¿Qué distritos tienen peor acceso a urgencias? (Wiki 1.8)</t>
        </is>
      </c>
    </row>
    <row r="451" ht="15.75" customHeight="1" s="24">
      <c r="A451" s="33" t="inlineStr">
        <is>
          <t>F20, F21</t>
        </is>
      </c>
      <c r="B451" s="33" t="inlineStr">
        <is>
          <t>public/data/correlaciones.json</t>
        </is>
      </c>
      <c r="C451" s="33" t="inlineStr">
        <is>
          <t>advertencia</t>
        </is>
      </c>
      <c r="D451" s="33" t="inlineStr">
        <is>
          <t>(grupo)</t>
        </is>
      </c>
      <c r="E451" s="33" t="inlineStr">
        <is>
          <t>Advertencia de lectura de las correlaciones.</t>
        </is>
      </c>
      <c r="F451" s="33" t="inlineStr">
        <is>
          <t>Texto</t>
        </is>
      </c>
      <c r="G451" s="33" t="inlineStr">
        <is>
          <t>—</t>
        </is>
      </c>
      <c r="H451" s="33" t="inlineStr">
        <is>
          <t>Con 18 distritos las correlaciones son descriptivas (ecológicas); no implican ca…</t>
        </is>
      </c>
      <c r="I451" s="33" t="inlineStr">
        <is>
          <t>No</t>
        </is>
      </c>
      <c r="J451" s="33" t="inlineStr">
        <is>
          <t>Con 18 distritos las correlaciones son descriptivas (ecológicas); no implican causalidad.</t>
        </is>
      </c>
      <c r="K451" s="33" t="inlineStr">
        <is>
          <t>Pública</t>
        </is>
      </c>
      <c r="L451" s="33" t="inlineStr">
        <is>
          <t>Texto escrito por el grupo.</t>
        </is>
      </c>
      <c r="M451" s="33" t="inlineStr">
        <is>
          <t>¿Cómo no malinterpretarlas?</t>
        </is>
      </c>
    </row>
    <row r="452" ht="15.75" customHeight="1" s="24">
      <c r="A452" s="33" t="inlineStr">
        <is>
          <t>F01</t>
        </is>
      </c>
      <c r="B452" s="33" t="inlineStr">
        <is>
          <t>public/data/perfil_wiki.json</t>
        </is>
      </c>
      <c r="C452" s="33" t="inlineStr">
        <is>
          <t>temas.poblacion.poblacion_mitad_2026.valor</t>
        </is>
      </c>
      <c r="D452" s="33" t="inlineStr">
        <is>
          <t>(cifra de informe, copiada a la wiki)</t>
        </is>
      </c>
      <c r="E452" s="33" t="inlineStr">
        <is>
          <t>Población estimada de Hong Kong a mediados de 2026.</t>
        </is>
      </c>
      <c r="F452" s="33" t="inlineStr">
        <is>
          <t>Entero</t>
        </is>
      </c>
      <c r="G452" s="33" t="inlineStr">
        <is>
          <t>personas</t>
        </is>
      </c>
      <c r="H452" s="33" t="inlineStr">
        <is>
          <t>7518300</t>
        </is>
      </c>
      <c r="I452" s="33" t="inlineStr">
        <is>
          <t>No</t>
        </is>
      </c>
      <c r="J452" s="33" t="inlineStr">
        <is>
          <t>valor único (cifra declarada)</t>
        </is>
      </c>
      <c r="K452" s="33" t="inlineStr">
        <is>
          <t>Pública</t>
        </is>
      </c>
      <c r="L452" s="33" t="inlineStr">
        <is>
          <t>Copiada a mano de la wiki del grupo; sello «declarado». Los campos que el lago ya calcula se retiraron (ver conciliacion.json).</t>
        </is>
      </c>
      <c r="M452" s="33" t="inlineStr">
        <is>
          <t>¿Cuánta gente vive hoy en Hong Kong? (Wiki 1)</t>
        </is>
      </c>
    </row>
    <row r="453" ht="15.75" customHeight="1" s="24">
      <c r="A453" s="33" t="inlineStr">
        <is>
          <t>F01</t>
        </is>
      </c>
      <c r="B453" s="33" t="inlineStr">
        <is>
          <t>public/data/perfil_wiki.json</t>
        </is>
      </c>
      <c r="C453" s="33" t="inlineStr">
        <is>
          <t>temas.poblacion.variacion_poblacion_anual_pct.valor</t>
        </is>
      </c>
      <c r="D453" s="33" t="inlineStr">
        <is>
          <t>(cifra de informe, copiada a la wiki)</t>
        </is>
      </c>
      <c r="E453" s="33" t="inlineStr">
        <is>
          <t>Variación de la población frente a mediados de 2025.</t>
        </is>
      </c>
      <c r="F453" s="33" t="inlineStr">
        <is>
          <t>Decimal</t>
        </is>
      </c>
      <c r="G453" s="33" t="inlineStr">
        <is>
          <t>%</t>
        </is>
      </c>
      <c r="H453" s="33" t="inlineStr">
        <is>
          <t>0.3</t>
        </is>
      </c>
      <c r="I453" s="33" t="inlineStr">
        <is>
          <t>No</t>
        </is>
      </c>
      <c r="J453" s="33" t="inlineStr">
        <is>
          <t>valor único (cifra declarada)</t>
        </is>
      </c>
      <c r="K453" s="33" t="inlineStr">
        <is>
          <t>Pública</t>
        </is>
      </c>
      <c r="L453" s="33" t="inlineStr">
        <is>
          <t>Copiada a mano de la wiki del grupo; sello «declarado». Los campos que el lago ya calcula se retiraron (ver conciliacion.json).</t>
        </is>
      </c>
      <c r="M453" s="33" t="inlineStr">
        <is>
          <t>¿La población está creciendo o bajando? (Wiki 1)</t>
        </is>
      </c>
    </row>
    <row r="454" ht="15.75" customHeight="1" s="24">
      <c r="A454" s="33" t="inlineStr">
        <is>
          <t>F01</t>
        </is>
      </c>
      <c r="B454" s="33" t="inlineStr">
        <is>
          <t>public/data/perfil_wiki.json</t>
        </is>
      </c>
      <c r="C454" s="33" t="inlineStr">
        <is>
          <t>temas.poblacion.nacimientos_jul2025_jun2026.valor</t>
        </is>
      </c>
      <c r="D454" s="33" t="inlineStr">
        <is>
          <t>(cifra de informe, copiada a la wiki)</t>
        </is>
      </c>
      <c r="E454" s="33" t="inlineStr">
        <is>
          <t>Nacimientos registrados entre mediados de 2025 y mediados de 2026.</t>
        </is>
      </c>
      <c r="F454" s="33" t="inlineStr">
        <is>
          <t>Entero</t>
        </is>
      </c>
      <c r="G454" s="33" t="inlineStr">
        <is>
          <t>nacimientos</t>
        </is>
      </c>
      <c r="H454" s="33" t="inlineStr">
        <is>
          <t>29700</t>
        </is>
      </c>
      <c r="I454" s="33" t="inlineStr">
        <is>
          <t>No</t>
        </is>
      </c>
      <c r="J454" s="33" t="inlineStr">
        <is>
          <t>valor único (cifra declarada)</t>
        </is>
      </c>
      <c r="K454" s="33" t="inlineStr">
        <is>
          <t>Pública</t>
        </is>
      </c>
      <c r="L454" s="33" t="inlineStr">
        <is>
          <t>Copiada a mano de la wiki del grupo; sello «declarado». Los campos que el lago ya calcula se retiraron (ver conciliacion.json).</t>
        </is>
      </c>
      <c r="M454" s="33" t="inlineStr">
        <is>
          <t>¿Cuántos niños nacen al año? (Wiki 1.10)</t>
        </is>
      </c>
    </row>
    <row r="455" ht="15.75" customHeight="1" s="24">
      <c r="A455" s="33" t="inlineStr">
        <is>
          <t>F01</t>
        </is>
      </c>
      <c r="B455" s="33" t="inlineStr">
        <is>
          <t>public/data/perfil_wiki.json</t>
        </is>
      </c>
      <c r="C455" s="33" t="inlineStr">
        <is>
          <t>temas.poblacion.defunciones_jul2025_jun2026.valor</t>
        </is>
      </c>
      <c r="D455" s="33" t="inlineStr">
        <is>
          <t>(cifra de informe, copiada a la wiki)</t>
        </is>
      </c>
      <c r="E455" s="33" t="inlineStr">
        <is>
          <t>Defunciones registradas entre mediados de 2025 y mediados de 2026.</t>
        </is>
      </c>
      <c r="F455" s="33" t="inlineStr">
        <is>
          <t>Entero</t>
        </is>
      </c>
      <c r="G455" s="33" t="inlineStr">
        <is>
          <t>defunciones</t>
        </is>
      </c>
      <c r="H455" s="33" t="inlineStr">
        <is>
          <t>50100</t>
        </is>
      </c>
      <c r="I455" s="33" t="inlineStr">
        <is>
          <t>No</t>
        </is>
      </c>
      <c r="J455" s="33" t="inlineStr">
        <is>
          <t>valor único (cifra declarada)</t>
        </is>
      </c>
      <c r="K455" s="33" t="inlineStr">
        <is>
          <t>Pública</t>
        </is>
      </c>
      <c r="L455" s="33" t="inlineStr">
        <is>
          <t>Copiada a mano de la wiki del grupo; sello «declarado». Los campos que el lago ya calcula se retiraron (ver conciliacion.json).</t>
        </is>
      </c>
      <c r="M455" s="33" t="inlineStr">
        <is>
          <t>¿Cuántas personas mueren al año? (Wiki 1.10)</t>
        </is>
      </c>
    </row>
    <row r="456" ht="15.75" customHeight="1" s="24">
      <c r="A456" s="33" t="inlineStr">
        <is>
          <t>F01</t>
        </is>
      </c>
      <c r="B456" s="33" t="inlineStr">
        <is>
          <t>public/data/perfil_wiki.json</t>
        </is>
      </c>
      <c r="C456" s="33" t="inlineStr">
        <is>
          <t>temas.poblacion.crecimiento_natural_jul2025_jun2026.valor</t>
        </is>
      </c>
      <c r="D456" s="33" t="inlineStr">
        <is>
          <t>(cifra de informe, copiada a la wiki)</t>
        </is>
      </c>
      <c r="E456" s="33" t="inlineStr">
        <is>
          <t>Nacimientos menos defunciones en el mismo periodo (negativo = decrecimiento).</t>
        </is>
      </c>
      <c r="F456" s="33" t="inlineStr">
        <is>
          <t>Entero</t>
        </is>
      </c>
      <c r="G456" s="33" t="inlineStr">
        <is>
          <t>personas</t>
        </is>
      </c>
      <c r="H456" s="33" t="inlineStr">
        <is>
          <t>-20400</t>
        </is>
      </c>
      <c r="I456" s="33" t="inlineStr">
        <is>
          <t>No</t>
        </is>
      </c>
      <c r="J456" s="33" t="inlineStr">
        <is>
          <t>valor único (cifra declarada)</t>
        </is>
      </c>
      <c r="K456" s="33" t="inlineStr">
        <is>
          <t>Pública</t>
        </is>
      </c>
      <c r="L456" s="33" t="inlineStr">
        <is>
          <t>Copiada a mano de la wiki del grupo; sello «declarado». Los campos que el lago ya calcula se retiraron (ver conciliacion.json).</t>
        </is>
      </c>
      <c r="M456" s="33" t="inlineStr">
        <is>
          <t>¿La población crece por nacimientos o solo por migración? (Wiki 1, 1.10)</t>
        </is>
      </c>
    </row>
    <row r="457" ht="15.75" customHeight="1" s="24">
      <c r="A457" s="33" t="inlineStr">
        <is>
          <t>F02</t>
        </is>
      </c>
      <c r="B457" s="33" t="inlineStr">
        <is>
          <t>public/data/perfil_wiki.json</t>
        </is>
      </c>
      <c r="C457" s="33" t="inlineStr">
        <is>
          <t>temas.poblacion.poblacion_proyectada_2046_base.valor</t>
        </is>
      </c>
      <c r="D457" s="33" t="inlineStr">
        <is>
          <t>(cifra de informe, copiada a la wiki)</t>
        </is>
      </c>
      <c r="E457" s="33" t="inlineStr">
        <is>
          <t>Población proyectada para 2046 en el escenario base.</t>
        </is>
      </c>
      <c r="F457" s="33" t="inlineStr">
        <is>
          <t>Entero</t>
        </is>
      </c>
      <c r="G457" s="33" t="inlineStr">
        <is>
          <t>personas</t>
        </is>
      </c>
      <c r="H457" s="33" t="inlineStr">
        <is>
          <t>8190000</t>
        </is>
      </c>
      <c r="I457" s="33" t="inlineStr">
        <is>
          <t>No</t>
        </is>
      </c>
      <c r="J457" s="33" t="inlineStr">
        <is>
          <t>valor único (cifra declarada)</t>
        </is>
      </c>
      <c r="K457" s="33" t="inlineStr">
        <is>
          <t>Pública</t>
        </is>
      </c>
      <c r="L457" s="33" t="inlineStr">
        <is>
          <t>Copiada a mano de la wiki del grupo; sello «declarado». Los campos que el lago ya calcula se retiraron (ver conciliacion.json).</t>
        </is>
      </c>
      <c r="M457" s="33" t="inlineStr">
        <is>
          <t>¿Cuánta población tendrá Hong Kong en 2046? (Wiki 1.1)</t>
        </is>
      </c>
    </row>
    <row r="458" ht="15.75" customHeight="1" s="24">
      <c r="A458" s="33" t="inlineStr">
        <is>
          <t>F02</t>
        </is>
      </c>
      <c r="B458" s="33" t="inlineStr">
        <is>
          <t>public/data/perfil_wiki.json</t>
        </is>
      </c>
      <c r="C458" s="33" t="inlineStr">
        <is>
          <t>temas.poblacion.poblacion_proyectada_2046_alta.valor</t>
        </is>
      </c>
      <c r="D458" s="33" t="inlineStr">
        <is>
          <t>(cifra de informe, copiada a la wiki)</t>
        </is>
      </c>
      <c r="E458" s="33" t="inlineStr">
        <is>
          <t>Población proyectada para 2046 en el escenario alto.</t>
        </is>
      </c>
      <c r="F458" s="33" t="inlineStr">
        <is>
          <t>Entero</t>
        </is>
      </c>
      <c r="G458" s="33" t="inlineStr">
        <is>
          <t>personas</t>
        </is>
      </c>
      <c r="H458" s="33" t="inlineStr">
        <is>
          <t>8960000</t>
        </is>
      </c>
      <c r="I458" s="33" t="inlineStr">
        <is>
          <t>No</t>
        </is>
      </c>
      <c r="J458" s="33" t="inlineStr">
        <is>
          <t>valor único (cifra declarada)</t>
        </is>
      </c>
      <c r="K458" s="33" t="inlineStr">
        <is>
          <t>Pública</t>
        </is>
      </c>
      <c r="L458" s="33" t="inlineStr">
        <is>
          <t>Copiada a mano de la wiki del grupo; sello «declarado». Los campos que el lago ya calcula se retiraron (ver conciliacion.json).</t>
        </is>
      </c>
      <c r="M458" s="33" t="inlineStr">
        <is>
          <t>¿Cuál es el techo plausible de población en 2046? (Wiki 1.1)</t>
        </is>
      </c>
    </row>
    <row r="459" ht="15.75" customHeight="1" s="24">
      <c r="A459" s="33" t="inlineStr">
        <is>
          <t>F02</t>
        </is>
      </c>
      <c r="B459" s="33" t="inlineStr">
        <is>
          <t>public/data/perfil_wiki.json</t>
        </is>
      </c>
      <c r="C459" s="33" t="inlineStr">
        <is>
          <t>temas.poblacion.poblacion_proyectada_2046_baja.valor</t>
        </is>
      </c>
      <c r="D459" s="33" t="inlineStr">
        <is>
          <t>(cifra de informe, copiada a la wiki)</t>
        </is>
      </c>
      <c r="E459" s="33" t="inlineStr">
        <is>
          <t>Población proyectada para 2046 en el escenario bajo.</t>
        </is>
      </c>
      <c r="F459" s="33" t="inlineStr">
        <is>
          <t>Entero</t>
        </is>
      </c>
      <c r="G459" s="33" t="inlineStr">
        <is>
          <t>personas</t>
        </is>
      </c>
      <c r="H459" s="33" t="inlineStr">
        <is>
          <t>7760000</t>
        </is>
      </c>
      <c r="I459" s="33" t="inlineStr">
        <is>
          <t>No</t>
        </is>
      </c>
      <c r="J459" s="33" t="inlineStr">
        <is>
          <t>valor único (cifra declarada)</t>
        </is>
      </c>
      <c r="K459" s="33" t="inlineStr">
        <is>
          <t>Pública</t>
        </is>
      </c>
      <c r="L459" s="33" t="inlineStr">
        <is>
          <t>Copiada a mano de la wiki del grupo; sello «declarado». Los campos que el lago ya calcula se retiraron (ver conciliacion.json).</t>
        </is>
      </c>
      <c r="M459" s="33" t="inlineStr">
        <is>
          <t>¿Cuál es el piso plausible de población en 2046? (Wiki 1.1)</t>
        </is>
      </c>
    </row>
    <row r="460" ht="15.75" customHeight="1" s="24">
      <c r="A460" s="33" t="inlineStr">
        <is>
          <t>F02</t>
        </is>
      </c>
      <c r="B460" s="33" t="inlineStr">
        <is>
          <t>public/data/perfil_wiki.json</t>
        </is>
      </c>
      <c r="C460" s="33" t="inlineStr">
        <is>
          <t>temas.poblacion.entrada_neta_proyectada_2022_2046.valor</t>
        </is>
      </c>
      <c r="D460" s="33" t="inlineStr">
        <is>
          <t>(cifra de informe, copiada a la wiki)</t>
        </is>
      </c>
      <c r="E460" s="33" t="inlineStr">
        <is>
          <t>Personas que entrarían en neto a Hong Kong en el periodo de proyección.</t>
        </is>
      </c>
      <c r="F460" s="33" t="inlineStr">
        <is>
          <t>Entero</t>
        </is>
      </c>
      <c r="G460" s="33" t="inlineStr">
        <is>
          <t>personas</t>
        </is>
      </c>
      <c r="H460" s="33" t="inlineStr">
        <is>
          <t>1520000</t>
        </is>
      </c>
      <c r="I460" s="33" t="inlineStr">
        <is>
          <t>No</t>
        </is>
      </c>
      <c r="J460" s="33" t="inlineStr">
        <is>
          <t>valor único (cifra declarada)</t>
        </is>
      </c>
      <c r="K460" s="33" t="inlineStr">
        <is>
          <t>Pública</t>
        </is>
      </c>
      <c r="L460" s="33" t="inlineStr">
        <is>
          <t>Copiada a mano de la wiki del grupo; sello «declarado». Los campos que el lago ya calcula se retiraron (ver conciliacion.json).</t>
        </is>
      </c>
      <c r="M460" s="33" t="inlineStr">
        <is>
          <t>¿Cuánto depende el crecimiento de la migración? (Wiki 1.1, 1.9)</t>
        </is>
      </c>
    </row>
    <row r="461" ht="15.75" customHeight="1" s="24">
      <c r="A461" s="33" t="inlineStr">
        <is>
          <t>F02</t>
        </is>
      </c>
      <c r="B461" s="33" t="inlineStr">
        <is>
          <t>public/data/perfil_wiki.json</t>
        </is>
      </c>
      <c r="C461" s="33" t="inlineStr">
        <is>
          <t>temas.poblacion.entrada_one_way_permit_2022_2046.valor</t>
        </is>
      </c>
      <c r="D461" s="33" t="inlineStr">
        <is>
          <t>(cifra de informe, copiada a la wiki)</t>
        </is>
      </c>
      <c r="E461" s="33" t="inlineStr">
        <is>
          <t>Parte de la entrada neta que llega con One-way Permit desde China continental.</t>
        </is>
      </c>
      <c r="F461" s="33" t="inlineStr">
        <is>
          <t>Entero</t>
        </is>
      </c>
      <c r="G461" s="33" t="inlineStr">
        <is>
          <t>personas</t>
        </is>
      </c>
      <c r="H461" s="33" t="inlineStr">
        <is>
          <t>890000</t>
        </is>
      </c>
      <c r="I461" s="33" t="inlineStr">
        <is>
          <t>No</t>
        </is>
      </c>
      <c r="J461" s="33" t="inlineStr">
        <is>
          <t>valor único (cifra declarada)</t>
        </is>
      </c>
      <c r="K461" s="33" t="inlineStr">
        <is>
          <t>Pública</t>
        </is>
      </c>
      <c r="L461" s="33" t="inlineStr">
        <is>
          <t>Copiada a mano de la wiki del grupo; sello «declarado». Los campos que el lago ya calcula se retiraron (ver conciliacion.json).</t>
        </is>
      </c>
      <c r="M461" s="33" t="inlineStr">
        <is>
          <t>¿Cuánto aporta la migración desde China continental? (Wiki 1.9)</t>
        </is>
      </c>
    </row>
    <row r="462" ht="15.75" customHeight="1" s="24">
      <c r="A462" s="33" t="inlineStr">
        <is>
          <t>F02</t>
        </is>
      </c>
      <c r="B462" s="33" t="inlineStr">
        <is>
          <t>public/data/perfil_wiki.json</t>
        </is>
      </c>
      <c r="C462" s="33" t="inlineStr">
        <is>
          <t>temas.poblacion.entrada_empleadas_domesticas_2022_2046.valor</t>
        </is>
      </c>
      <c r="D462" s="33" t="inlineStr">
        <is>
          <t>(cifra de informe, copiada a la wiki)</t>
        </is>
      </c>
      <c r="E462" s="33" t="inlineStr">
        <is>
          <t>Parte de la entrada neta que corresponde a empleadas domésticas extranjeras.</t>
        </is>
      </c>
      <c r="F462" s="33" t="inlineStr">
        <is>
          <t>Entero</t>
        </is>
      </c>
      <c r="G462" s="33" t="inlineStr">
        <is>
          <t>personas</t>
        </is>
      </c>
      <c r="H462" s="33" t="inlineStr">
        <is>
          <t>240000</t>
        </is>
      </c>
      <c r="I462" s="33" t="inlineStr">
        <is>
          <t>No</t>
        </is>
      </c>
      <c r="J462" s="33" t="inlineStr">
        <is>
          <t>valor único (cifra declarada)</t>
        </is>
      </c>
      <c r="K462" s="33" t="inlineStr">
        <is>
          <t>Pública</t>
        </is>
      </c>
      <c r="L462" s="33" t="inlineStr">
        <is>
          <t>Copiada a mano de la wiki del grupo; sello «declarado». Los campos que el lago ya calcula se retiraron (ver conciliacion.json).</t>
        </is>
      </c>
      <c r="M462" s="33" t="inlineStr">
        <is>
          <t>¿Cuánto pesan las empleadas domésticas en el crecimiento? (Wiki 1.9)</t>
        </is>
      </c>
    </row>
    <row r="463" ht="15.75" customHeight="1" s="24">
      <c r="A463" s="33" t="inlineStr">
        <is>
          <t>F02</t>
        </is>
      </c>
      <c r="B463" s="33" t="inlineStr">
        <is>
          <t>public/data/perfil_wiki.json</t>
        </is>
      </c>
      <c r="C463" s="33" t="inlineStr">
        <is>
          <t>temas.poblacion.poblacion_trabajadora_pico_2038.valor</t>
        </is>
      </c>
      <c r="D463" s="33" t="inlineStr">
        <is>
          <t>(cifra de informe, copiada a la wiki)</t>
        </is>
      </c>
      <c r="E463" s="33" t="inlineStr">
        <is>
          <t>Población trabajadora en su punto máximo proyectado (2038).</t>
        </is>
      </c>
      <c r="F463" s="33" t="inlineStr">
        <is>
          <t>Entero</t>
        </is>
      </c>
      <c r="G463" s="33" t="inlineStr">
        <is>
          <t>personas</t>
        </is>
      </c>
      <c r="H463" s="33" t="inlineStr">
        <is>
          <t>3660000</t>
        </is>
      </c>
      <c r="I463" s="33" t="inlineStr">
        <is>
          <t>No</t>
        </is>
      </c>
      <c r="J463" s="33" t="inlineStr">
        <is>
          <t>valor único (cifra declarada)</t>
        </is>
      </c>
      <c r="K463" s="33" t="inlineStr">
        <is>
          <t>Pública</t>
        </is>
      </c>
      <c r="L463" s="33" t="inlineStr">
        <is>
          <t>Copiada a mano de la wiki del grupo; sello «declarado». Los campos que el lago ya calcula se retiraron (ver conciliacion.json).</t>
        </is>
      </c>
      <c r="M463" s="33" t="inlineStr">
        <is>
          <t>¿Cuándo empieza a caer la fuerza laboral? (Wiki 1.1)</t>
        </is>
      </c>
    </row>
    <row r="464" ht="15.75" customHeight="1" s="24">
      <c r="A464" s="33" t="inlineStr">
        <is>
          <t>F02</t>
        </is>
      </c>
      <c r="B464" s="33" t="inlineStr">
        <is>
          <t>public/data/perfil_wiki.json</t>
        </is>
      </c>
      <c r="C464" s="33" t="inlineStr">
        <is>
          <t>temas.poblacion.poblacion_trabajadora_2046.valor</t>
        </is>
      </c>
      <c r="D464" s="33" t="inlineStr">
        <is>
          <t>(cifra de informe, copiada a la wiki)</t>
        </is>
      </c>
      <c r="E464" s="33" t="inlineStr">
        <is>
          <t>Población trabajadora proyectada para 2046.</t>
        </is>
      </c>
      <c r="F464" s="33" t="inlineStr">
        <is>
          <t>Entero</t>
        </is>
      </c>
      <c r="G464" s="33" t="inlineStr">
        <is>
          <t>personas</t>
        </is>
      </c>
      <c r="H464" s="33" t="inlineStr">
        <is>
          <t>3580000</t>
        </is>
      </c>
      <c r="I464" s="33" t="inlineStr">
        <is>
          <t>No</t>
        </is>
      </c>
      <c r="J464" s="33" t="inlineStr">
        <is>
          <t>valor único (cifra declarada)</t>
        </is>
      </c>
      <c r="K464" s="33" t="inlineStr">
        <is>
          <t>Pública</t>
        </is>
      </c>
      <c r="L464" s="33" t="inlineStr">
        <is>
          <t>Copiada a mano de la wiki del grupo; sello «declarado». Los campos que el lago ya calcula se retiraron (ver conciliacion.json).</t>
        </is>
      </c>
      <c r="M464" s="33" t="inlineStr">
        <is>
          <t>¿Cuánta fuerza laboral habrá en 2046? (Wiki 1.1)</t>
        </is>
      </c>
    </row>
    <row r="465" ht="15.75" customHeight="1" s="24">
      <c r="A465" s="33" t="inlineStr">
        <is>
          <t>F02</t>
        </is>
      </c>
      <c r="B465" s="33" t="inlineStr">
        <is>
          <t>public/data/perfil_wiki.json</t>
        </is>
      </c>
      <c r="C465" s="33" t="inlineStr">
        <is>
          <t>temas.poblacion.poblacion_65_mas_2046.valor</t>
        </is>
      </c>
      <c r="D465" s="33" t="inlineStr">
        <is>
          <t>(cifra de informe, copiada a la wiki)</t>
        </is>
      </c>
      <c r="E465" s="33" t="inlineStr">
        <is>
          <t>Personas de 65 años o más proyectadas para 2046.</t>
        </is>
      </c>
      <c r="F465" s="33" t="inlineStr">
        <is>
          <t>Entero</t>
        </is>
      </c>
      <c r="G465" s="33" t="inlineStr">
        <is>
          <t>personas</t>
        </is>
      </c>
      <c r="H465" s="33" t="inlineStr">
        <is>
          <t>2740000</t>
        </is>
      </c>
      <c r="I465" s="33" t="inlineStr">
        <is>
          <t>No</t>
        </is>
      </c>
      <c r="J465" s="33" t="inlineStr">
        <is>
          <t>valor único (cifra declarada)</t>
        </is>
      </c>
      <c r="K465" s="33" t="inlineStr">
        <is>
          <t>Pública</t>
        </is>
      </c>
      <c r="L465" s="33" t="inlineStr">
        <is>
          <t>Copiada a mano de la wiki del grupo; sello «declarado». Los campos que el lago ya calcula se retiraron (ver conciliacion.json).</t>
        </is>
      </c>
      <c r="M465" s="33" t="inlineStr">
        <is>
          <t>¿Cuánto crecerá la población mayor? (Wiki 1.3)</t>
        </is>
      </c>
    </row>
    <row r="466" ht="15.75" customHeight="1" s="24">
      <c r="A466" s="33" t="inlineStr">
        <is>
          <t>F02</t>
        </is>
      </c>
      <c r="B466" s="33" t="inlineStr">
        <is>
          <t>public/data/perfil_wiki.json</t>
        </is>
      </c>
      <c r="C466" s="33" t="inlineStr">
        <is>
          <t>temas.poblacion.pct_65_mas_2046.valor</t>
        </is>
      </c>
      <c r="D466" s="33" t="inlineStr">
        <is>
          <t>(cifra de informe, copiada a la wiki)</t>
        </is>
      </c>
      <c r="E466" s="33" t="inlineStr">
        <is>
          <t>Porcentaje proyectado de población con 65+ en 2046.</t>
        </is>
      </c>
      <c r="F466" s="33" t="inlineStr">
        <is>
          <t>Entero</t>
        </is>
      </c>
      <c r="G466" s="33" t="inlineStr">
        <is>
          <t>%</t>
        </is>
      </c>
      <c r="H466" s="33" t="inlineStr">
        <is>
          <t>36</t>
        </is>
      </c>
      <c r="I466" s="33" t="inlineStr">
        <is>
          <t>No</t>
        </is>
      </c>
      <c r="J466" s="33" t="inlineStr">
        <is>
          <t>valor único (cifra declarada)</t>
        </is>
      </c>
      <c r="K466" s="33" t="inlineStr">
        <is>
          <t>Pública</t>
        </is>
      </c>
      <c r="L466" s="33" t="inlineStr">
        <is>
          <t>Copiada a mano de la wiki del grupo; sello «declarado». Los campos que el lago ya calcula se retiraron (ver conciliacion.json).</t>
        </is>
      </c>
      <c r="M466" s="33" t="inlineStr">
        <is>
          <t>¿Qué presión tendrá el sistema de cuidado en 2046? (Wiki 1.3, 1.8)</t>
        </is>
      </c>
    </row>
    <row r="467" ht="15.75" customHeight="1" s="24">
      <c r="A467" s="33" t="inlineStr">
        <is>
          <t>F03</t>
        </is>
      </c>
      <c r="B467" s="33" t="inlineStr">
        <is>
          <t>public/data/perfil_wiki.json</t>
        </is>
      </c>
      <c r="C467" s="33" t="inlineStr">
        <is>
          <t>temas.poblacion.pct_15mas_secundaria_o_mas_2011.valor</t>
        </is>
      </c>
      <c r="D467" s="33" t="inlineStr">
        <is>
          <t>(cifra de informe, copiada a la wiki)</t>
        </is>
      </c>
      <c r="E467" s="33" t="inlineStr">
        <is>
          <t>Porcentaje de la población de 15+ con secundaria o más en 2011.</t>
        </is>
      </c>
      <c r="F467" s="33" t="inlineStr">
        <is>
          <t>Decimal</t>
        </is>
      </c>
      <c r="G467" s="33" t="inlineStr">
        <is>
          <t>%</t>
        </is>
      </c>
      <c r="H467" s="33" t="inlineStr">
        <is>
          <t>77.3</t>
        </is>
      </c>
      <c r="I467" s="33" t="inlineStr">
        <is>
          <t>No</t>
        </is>
      </c>
      <c r="J467" s="33" t="inlineStr">
        <is>
          <t>valor único (cifra declarada)</t>
        </is>
      </c>
      <c r="K467" s="33" t="inlineStr">
        <is>
          <t>Pública</t>
        </is>
      </c>
      <c r="L467" s="33" t="inlineStr">
        <is>
          <t>Copiada a mano de la wiki del grupo; sello «declarado». Los campos que el lago ya calcula se retiraron (ver conciliacion.json).</t>
        </is>
      </c>
      <c r="M467" s="33" t="inlineStr">
        <is>
          <t>¿Cómo ha mejorado el nivel educativo? (Wiki 1.6)</t>
        </is>
      </c>
    </row>
    <row r="468" ht="15.75" customHeight="1" s="24">
      <c r="A468" s="33" t="inlineStr">
        <is>
          <t>F03</t>
        </is>
      </c>
      <c r="B468" s="33" t="inlineStr">
        <is>
          <t>public/data/perfil_wiki.json</t>
        </is>
      </c>
      <c r="C468" s="33" t="inlineStr">
        <is>
          <t>temas.poblacion.pct_15mas_secundaria_o_mas_2021.valor</t>
        </is>
      </c>
      <c r="D468" s="33" t="inlineStr">
        <is>
          <t>(cifra de informe, copiada a la wiki)</t>
        </is>
      </c>
      <c r="E468" s="33" t="inlineStr">
        <is>
          <t>Porcentaje de la población de 15+ con secundaria o más en 2021.</t>
        </is>
      </c>
      <c r="F468" s="33" t="inlineStr">
        <is>
          <t>Decimal</t>
        </is>
      </c>
      <c r="G468" s="33" t="inlineStr">
        <is>
          <t>%</t>
        </is>
      </c>
      <c r="H468" s="33" t="inlineStr">
        <is>
          <t>81.6</t>
        </is>
      </c>
      <c r="I468" s="33" t="inlineStr">
        <is>
          <t>No</t>
        </is>
      </c>
      <c r="J468" s="33" t="inlineStr">
        <is>
          <t>valor único (cifra declarada)</t>
        </is>
      </c>
      <c r="K468" s="33" t="inlineStr">
        <is>
          <t>Pública</t>
        </is>
      </c>
      <c r="L468" s="33" t="inlineStr">
        <is>
          <t>Copiada a mano de la wiki del grupo; sello «declarado». Los campos que el lago ya calcula se retiraron (ver conciliacion.json).</t>
        </is>
      </c>
      <c r="M468" s="33" t="inlineStr">
        <is>
          <t>¿Qué nivel educativo tiene la población? (Wiki 1.6)</t>
        </is>
      </c>
    </row>
    <row r="469" ht="15.75" customHeight="1" s="24">
      <c r="A469" s="33" t="inlineStr">
        <is>
          <t>F03</t>
        </is>
      </c>
      <c r="B469" s="33" t="inlineStr">
        <is>
          <t>public/data/perfil_wiki.json</t>
        </is>
      </c>
      <c r="C469" s="33" t="inlineStr">
        <is>
          <t>temas.poblacion.pct_15mas_educacion_superior_2011.valor</t>
        </is>
      </c>
      <c r="D469" s="33" t="inlineStr">
        <is>
          <t>(cifra de informe, copiada a la wiki)</t>
        </is>
      </c>
      <c r="E469" s="33" t="inlineStr">
        <is>
          <t>Porcentaje de la población de 15+ con educación superior en 2011.</t>
        </is>
      </c>
      <c r="F469" s="33" t="inlineStr">
        <is>
          <t>Decimal</t>
        </is>
      </c>
      <c r="G469" s="33" t="inlineStr">
        <is>
          <t>%</t>
        </is>
      </c>
      <c r="H469" s="33" t="inlineStr">
        <is>
          <t>27.3</t>
        </is>
      </c>
      <c r="I469" s="33" t="inlineStr">
        <is>
          <t>No</t>
        </is>
      </c>
      <c r="J469" s="33" t="inlineStr">
        <is>
          <t>valor único (cifra declarada)</t>
        </is>
      </c>
      <c r="K469" s="33" t="inlineStr">
        <is>
          <t>Pública</t>
        </is>
      </c>
      <c r="L469" s="33" t="inlineStr">
        <is>
          <t>Copiada a mano de la wiki del grupo; sello «declarado». Los campos que el lago ya calcula se retiraron (ver conciliacion.json).</t>
        </is>
      </c>
      <c r="M469" s="33" t="inlineStr">
        <is>
          <t>¿Cuánto creció la educación superior en una década? (Wiki 1.6)</t>
        </is>
      </c>
    </row>
    <row r="470" ht="15.75" customHeight="1" s="24">
      <c r="A470" s="33" t="inlineStr">
        <is>
          <t>F03</t>
        </is>
      </c>
      <c r="B470" s="33" t="inlineStr">
        <is>
          <t>public/data/perfil_wiki.json</t>
        </is>
      </c>
      <c r="C470" s="33" t="inlineStr">
        <is>
          <t>temas.poblacion.pct_15mas_educacion_superior_2021.valor</t>
        </is>
      </c>
      <c r="D470" s="33" t="inlineStr">
        <is>
          <t>(cifra de informe, copiada a la wiki)</t>
        </is>
      </c>
      <c r="E470" s="33" t="inlineStr">
        <is>
          <t>Porcentaje de la población de 15+ con educación superior en 2021.</t>
        </is>
      </c>
      <c r="F470" s="33" t="inlineStr">
        <is>
          <t>Decimal</t>
        </is>
      </c>
      <c r="G470" s="33" t="inlineStr">
        <is>
          <t>%</t>
        </is>
      </c>
      <c r="H470" s="33" t="inlineStr">
        <is>
          <t>34.6</t>
        </is>
      </c>
      <c r="I470" s="33" t="inlineStr">
        <is>
          <t>No</t>
        </is>
      </c>
      <c r="J470" s="33" t="inlineStr">
        <is>
          <t>valor único (cifra declarada)</t>
        </is>
      </c>
      <c r="K470" s="33" t="inlineStr">
        <is>
          <t>Pública</t>
        </is>
      </c>
      <c r="L470" s="33" t="inlineStr">
        <is>
          <t>Copiada a mano de la wiki del grupo; sello «declarado». Los campos que el lago ya calcula se retiraron (ver conciliacion.json).</t>
        </is>
      </c>
      <c r="M470" s="33" t="inlineStr">
        <is>
          <t>¿Qué tanto capital humano tiene la ciudad? (Wiki 1.6)</t>
        </is>
      </c>
    </row>
    <row r="471" ht="15.75" customHeight="1" s="24">
      <c r="A471" s="33" t="inlineStr">
        <is>
          <t>F03</t>
        </is>
      </c>
      <c r="B471" s="33" t="inlineStr">
        <is>
          <t>public/data/perfil_wiki.json</t>
        </is>
      </c>
      <c r="C471" s="33" t="inlineStr">
        <is>
          <t>temas.poblacion.tasa_escolarizacion_3_5_2021.valor</t>
        </is>
      </c>
      <c r="D471" s="33" t="inlineStr">
        <is>
          <t>(cifra de informe, copiada a la wiki)</t>
        </is>
      </c>
      <c r="E471" s="33" t="inlineStr">
        <is>
          <t>Porcentaje de niños de 3 a 5 años que asisten a la escuela en 2021.</t>
        </is>
      </c>
      <c r="F471" s="33" t="inlineStr">
        <is>
          <t>Decimal</t>
        </is>
      </c>
      <c r="G471" s="33" t="inlineStr">
        <is>
          <t>%</t>
        </is>
      </c>
      <c r="H471" s="33" t="inlineStr">
        <is>
          <t>88.4</t>
        </is>
      </c>
      <c r="I471" s="33" t="inlineStr">
        <is>
          <t>No</t>
        </is>
      </c>
      <c r="J471" s="33" t="inlineStr">
        <is>
          <t>valor único (cifra declarada)</t>
        </is>
      </c>
      <c r="K471" s="33" t="inlineStr">
        <is>
          <t>Pública</t>
        </is>
      </c>
      <c r="L471" s="33" t="inlineStr">
        <is>
          <t>Copiada a mano de la wiki del grupo; sello «declarado». Los campos que el lago ya calcula se retiraron (ver conciliacion.json).</t>
        </is>
      </c>
      <c r="M471" s="33" t="inlineStr">
        <is>
          <t>¿Qué tan extendido está el acceso a la educación inicial? (Wiki 1.6)</t>
        </is>
      </c>
    </row>
    <row r="472" ht="15.75" customHeight="1" s="24">
      <c r="A472" s="33" t="inlineStr">
        <is>
          <t>F04</t>
        </is>
      </c>
      <c r="B472" s="33" t="inlineStr">
        <is>
          <t>public/data/perfil_wiki.json</t>
        </is>
      </c>
      <c r="C472" s="33" t="inlineStr">
        <is>
          <t>temas.poblacion.tasa_bruta_natalidad_2025.valor</t>
        </is>
      </c>
      <c r="D472" s="33" t="inlineStr">
        <is>
          <t>(cifra de informe, copiada a la wiki)</t>
        </is>
      </c>
      <c r="E472" s="33" t="inlineStr">
        <is>
          <t>Nacimientos por cada 1.000 habitantes en 2025 (provisional).</t>
        </is>
      </c>
      <c r="F472" s="33" t="inlineStr">
        <is>
          <t>Decimal</t>
        </is>
      </c>
      <c r="G472" s="33" t="inlineStr">
        <is>
          <t>por 1.000 hab.</t>
        </is>
      </c>
      <c r="H472" s="33" t="inlineStr">
        <is>
          <t>4.2</t>
        </is>
      </c>
      <c r="I472" s="33" t="inlineStr">
        <is>
          <t>No</t>
        </is>
      </c>
      <c r="J472" s="33" t="inlineStr">
        <is>
          <t>valor único (cifra declarada)</t>
        </is>
      </c>
      <c r="K472" s="33" t="inlineStr">
        <is>
          <t>Pública</t>
        </is>
      </c>
      <c r="L472" s="33" t="inlineStr">
        <is>
          <t>Copiada a mano de la wiki del grupo; sello «declarado». Los campos que el lago ya calcula se retiraron (ver conciliacion.json).</t>
        </is>
      </c>
      <c r="M472" s="33" t="inlineStr">
        <is>
          <t>¿Qué tan baja es la natalidad hoy? (Wiki 1.10)</t>
        </is>
      </c>
    </row>
    <row r="473" ht="15.75" customHeight="1" s="24">
      <c r="A473" s="33" t="inlineStr">
        <is>
          <t>F04</t>
        </is>
      </c>
      <c r="B473" s="33" t="inlineStr">
        <is>
          <t>public/data/perfil_wiki.json</t>
        </is>
      </c>
      <c r="C473" s="33" t="inlineStr">
        <is>
          <t>temas.poblacion.tasa_bruta_natalidad_2011.valor</t>
        </is>
      </c>
      <c r="D473" s="33" t="inlineStr">
        <is>
          <t>(cifra de informe, copiada a la wiki)</t>
        </is>
      </c>
      <c r="E473" s="33" t="inlineStr">
        <is>
          <t>Nacimientos por cada 1.000 habitantes en 2011.</t>
        </is>
      </c>
      <c r="F473" s="33" t="inlineStr">
        <is>
          <t>Decimal</t>
        </is>
      </c>
      <c r="G473" s="33" t="inlineStr">
        <is>
          <t>por 1.000 hab.</t>
        </is>
      </c>
      <c r="H473" s="33" t="inlineStr">
        <is>
          <t>13.5</t>
        </is>
      </c>
      <c r="I473" s="33" t="inlineStr">
        <is>
          <t>No</t>
        </is>
      </c>
      <c r="J473" s="33" t="inlineStr">
        <is>
          <t>valor único (cifra declarada)</t>
        </is>
      </c>
      <c r="K473" s="33" t="inlineStr">
        <is>
          <t>Pública</t>
        </is>
      </c>
      <c r="L473" s="33" t="inlineStr">
        <is>
          <t>Copiada a mano de la wiki del grupo; sello «declarado». Los campos que el lago ya calcula se retiraron (ver conciliacion.json).</t>
        </is>
      </c>
      <c r="M473" s="33" t="inlineStr">
        <is>
          <t>¿Cuánto cayó la natalidad desde 2011? (Wiki 1.10)</t>
        </is>
      </c>
    </row>
    <row r="474" ht="15.75" customHeight="1" s="24">
      <c r="A474" s="33" t="inlineStr">
        <is>
          <t>F04</t>
        </is>
      </c>
      <c r="B474" s="33" t="inlineStr">
        <is>
          <t>public/data/perfil_wiki.json</t>
        </is>
      </c>
      <c r="C474" s="33" t="inlineStr">
        <is>
          <t>temas.poblacion.tasa_bruta_natalidad_1981.valor</t>
        </is>
      </c>
      <c r="D474" s="33" t="inlineStr">
        <is>
          <t>(cifra de informe, copiada a la wiki)</t>
        </is>
      </c>
      <c r="E474" s="33" t="inlineStr">
        <is>
          <t>Nacimientos por cada 1.000 habitantes en 1981.</t>
        </is>
      </c>
      <c r="F474" s="33" t="inlineStr">
        <is>
          <t>Decimal</t>
        </is>
      </c>
      <c r="G474" s="33" t="inlineStr">
        <is>
          <t>por 1.000 hab.</t>
        </is>
      </c>
      <c r="H474" s="33" t="inlineStr">
        <is>
          <t>16.8</t>
        </is>
      </c>
      <c r="I474" s="33" t="inlineStr">
        <is>
          <t>No</t>
        </is>
      </c>
      <c r="J474" s="33" t="inlineStr">
        <is>
          <t>valor único (cifra declarada)</t>
        </is>
      </c>
      <c r="K474" s="33" t="inlineStr">
        <is>
          <t>Pública</t>
        </is>
      </c>
      <c r="L474" s="33" t="inlineStr">
        <is>
          <t>Copiada a mano de la wiki del grupo; sello «declarado». Los campos que el lago ya calcula se retiraron (ver conciliacion.json).</t>
        </is>
      </c>
      <c r="M474" s="33" t="inlineStr">
        <is>
          <t>¿Cómo ha cambiado la natalidad en 40 años? (Wiki 1.10)</t>
        </is>
      </c>
    </row>
    <row r="475" ht="15.75" customHeight="1" s="24">
      <c r="A475" s="33" t="inlineStr">
        <is>
          <t>F05</t>
        </is>
      </c>
      <c r="B475" s="33" t="inlineStr">
        <is>
          <t>public/data/perfil_wiki.json</t>
        </is>
      </c>
      <c r="C475" s="33" t="inlineStr">
        <is>
          <t>temas.vivienda.precio_m2_apto_menor_40m2_oct2025.valor</t>
        </is>
      </c>
      <c r="D475" s="33" t="inlineStr">
        <is>
          <t>(cifra de informe, copiada a la wiki)</t>
        </is>
      </c>
      <c r="E475" s="33" t="inlineStr">
        <is>
          <t>Precio promedio por m² de apartamentos de menos de 40 m² en octubre de 2025.</t>
        </is>
      </c>
      <c r="F475" s="33" t="inlineStr">
        <is>
          <t>Entero</t>
        </is>
      </c>
      <c r="G475" s="33" t="inlineStr">
        <is>
          <t>HK$/m²</t>
        </is>
      </c>
      <c r="H475" s="33" t="inlineStr">
        <is>
          <t>131305</t>
        </is>
      </c>
      <c r="I475" s="33" t="inlineStr">
        <is>
          <t>No</t>
        </is>
      </c>
      <c r="J475" s="33" t="inlineStr">
        <is>
          <t>valor único (cifra declarada)</t>
        </is>
      </c>
      <c r="K475" s="33" t="inlineStr">
        <is>
          <t>Pública</t>
        </is>
      </c>
      <c r="L475" s="33" t="inlineStr">
        <is>
          <t>Copiada a mano de la wiki del grupo; sello «declarado». Los campos que el lago ya calcula se retiraron (ver conciliacion.json).</t>
        </is>
      </c>
      <c r="M475" s="33" t="inlineStr">
        <is>
          <t>¿Cuánto cuesta comprar vivienda? (Wiki 2.1)</t>
        </is>
      </c>
    </row>
    <row r="476" ht="15.75" customHeight="1" s="24">
      <c r="A476" s="33" t="inlineStr">
        <is>
          <t>F05</t>
        </is>
      </c>
      <c r="B476" s="33" t="inlineStr">
        <is>
          <t>public/data/perfil_wiki.json</t>
        </is>
      </c>
      <c r="C476" s="33" t="inlineStr">
        <is>
          <t>temas.vivienda.precio_m2_rango_min.valor</t>
        </is>
      </c>
      <c r="D476" s="33" t="inlineStr">
        <is>
          <t>(cifra de informe, copiada a la wiki)</t>
        </is>
      </c>
      <c r="E476" s="33" t="inlineStr">
        <is>
          <t>Límite inferior del rango de precio por m² según tamaño y zona.</t>
        </is>
      </c>
      <c r="F476" s="33" t="inlineStr">
        <is>
          <t>Entero</t>
        </is>
      </c>
      <c r="G476" s="33" t="inlineStr">
        <is>
          <t>HK$/m²</t>
        </is>
      </c>
      <c r="H476" s="33" t="inlineStr">
        <is>
          <t>130000</t>
        </is>
      </c>
      <c r="I476" s="33" t="inlineStr">
        <is>
          <t>No</t>
        </is>
      </c>
      <c r="J476" s="33" t="inlineStr">
        <is>
          <t>valor único (cifra declarada)</t>
        </is>
      </c>
      <c r="K476" s="33" t="inlineStr">
        <is>
          <t>Pública</t>
        </is>
      </c>
      <c r="L476" s="33" t="inlineStr">
        <is>
          <t>Copiada a mano de la wiki del grupo; sello «declarado». Los campos que el lago ya calcula se retiraron (ver conciliacion.json).</t>
        </is>
      </c>
      <c r="M476" s="33" t="inlineStr">
        <is>
          <t>¿Cuál es el piso del precio de la vivienda? (Wiki 2.1)</t>
        </is>
      </c>
    </row>
    <row r="477" ht="15.75" customHeight="1" s="24">
      <c r="A477" s="33" t="inlineStr">
        <is>
          <t>F05</t>
        </is>
      </c>
      <c r="B477" s="33" t="inlineStr">
        <is>
          <t>public/data/perfil_wiki.json</t>
        </is>
      </c>
      <c r="C477" s="33" t="inlineStr">
        <is>
          <t>temas.vivienda.precio_m2_rango_max.valor</t>
        </is>
      </c>
      <c r="D477" s="33" t="inlineStr">
        <is>
          <t>(cifra de informe, copiada a la wiki)</t>
        </is>
      </c>
      <c r="E477" s="33" t="inlineStr">
        <is>
          <t>Límite superior del rango de precio por m² según tamaño y zona.</t>
        </is>
      </c>
      <c r="F477" s="33" t="inlineStr">
        <is>
          <t>Entero</t>
        </is>
      </c>
      <c r="G477" s="33" t="inlineStr">
        <is>
          <t>HK$/m²</t>
        </is>
      </c>
      <c r="H477" s="33" t="inlineStr">
        <is>
          <t>190000</t>
        </is>
      </c>
      <c r="I477" s="33" t="inlineStr">
        <is>
          <t>No</t>
        </is>
      </c>
      <c r="J477" s="33" t="inlineStr">
        <is>
          <t>valor único (cifra declarada)</t>
        </is>
      </c>
      <c r="K477" s="33" t="inlineStr">
        <is>
          <t>Pública</t>
        </is>
      </c>
      <c r="L477" s="33" t="inlineStr">
        <is>
          <t>Copiada a mano de la wiki del grupo; sello «declarado». Los campos que el lago ya calcula se retiraron (ver conciliacion.json).</t>
        </is>
      </c>
      <c r="M477" s="33" t="inlineStr">
        <is>
          <t>¿Cuál es el techo del precio de la vivienda? (Wiki 2.1)</t>
        </is>
      </c>
    </row>
    <row r="478" ht="15.75" customHeight="1" s="24">
      <c r="A478" s="33" t="inlineStr">
        <is>
          <t>F05</t>
        </is>
      </c>
      <c r="B478" s="33" t="inlineStr">
        <is>
          <t>public/data/perfil_wiki.json</t>
        </is>
      </c>
      <c r="C478" s="33" t="inlineStr">
        <is>
          <t>temas.vivienda.var_precio_h1_2026_pct.valor</t>
        </is>
      </c>
      <c r="D478" s="33" t="inlineStr">
        <is>
          <t>(cifra de informe, copiada a la wiki)</t>
        </is>
      </c>
      <c r="E478" s="33" t="inlineStr">
        <is>
          <t>Variación del índice de precios residenciales en el primer semestre de 2026.</t>
        </is>
      </c>
      <c r="F478" s="33" t="inlineStr">
        <is>
          <t>Decimal</t>
        </is>
      </c>
      <c r="G478" s="33" t="inlineStr">
        <is>
          <t>%</t>
        </is>
      </c>
      <c r="H478" s="33" t="inlineStr">
        <is>
          <t>7.9</t>
        </is>
      </c>
      <c r="I478" s="33" t="inlineStr">
        <is>
          <t>No</t>
        </is>
      </c>
      <c r="J478" s="33" t="inlineStr">
        <is>
          <t>valor único (cifra declarada)</t>
        </is>
      </c>
      <c r="K478" s="33" t="inlineStr">
        <is>
          <t>Pública</t>
        </is>
      </c>
      <c r="L478" s="33" t="inlineStr">
        <is>
          <t>Copiada a mano de la wiki del grupo; sello «declarado». Los campos que el lago ya calcula se retiraron (ver conciliacion.json).</t>
        </is>
      </c>
      <c r="M478" s="33" t="inlineStr">
        <is>
          <t>¿Se está recuperando el precio de la vivienda? (Wiki 2.1)</t>
        </is>
      </c>
    </row>
    <row r="479" ht="15.75" customHeight="1" s="24">
      <c r="A479" s="33" t="inlineStr">
        <is>
          <t>F05</t>
        </is>
      </c>
      <c r="B479" s="33" t="inlineStr">
        <is>
          <t>public/data/perfil_wiki.json</t>
        </is>
      </c>
      <c r="C479" s="33" t="inlineStr">
        <is>
          <t>temas.vivienda.caida_precio_desde_pico_sep2021_pct.valor</t>
        </is>
      </c>
      <c r="D479" s="33" t="inlineStr">
        <is>
          <t>(cifra de informe, copiada a la wiki)</t>
        </is>
      </c>
      <c r="E479" s="33" t="inlineStr">
        <is>
          <t>Caída del precio desde el máximo de septiembre de 2021.</t>
        </is>
      </c>
      <c r="F479" s="33" t="inlineStr">
        <is>
          <t>Entero</t>
        </is>
      </c>
      <c r="G479" s="33" t="inlineStr">
        <is>
          <t>%</t>
        </is>
      </c>
      <c r="H479" s="33" t="inlineStr">
        <is>
          <t>-24</t>
        </is>
      </c>
      <c r="I479" s="33" t="inlineStr">
        <is>
          <t>No</t>
        </is>
      </c>
      <c r="J479" s="33" t="inlineStr">
        <is>
          <t>valor único (cifra declarada)</t>
        </is>
      </c>
      <c r="K479" s="33" t="inlineStr">
        <is>
          <t>Pública</t>
        </is>
      </c>
      <c r="L479" s="33" t="inlineStr">
        <is>
          <t>Copiada a mano de la wiki del grupo; sello «declarado». Los campos que el lago ya calcula se retiraron (ver conciliacion.json).</t>
        </is>
      </c>
      <c r="M479" s="33" t="inlineStr">
        <is>
          <t>¿Cuánto bajó la vivienda desde su pico? (Wiki 2.1)</t>
        </is>
      </c>
    </row>
    <row r="480" ht="15.75" customHeight="1" s="24">
      <c r="A480" s="33" t="inlineStr">
        <is>
          <t>F05</t>
        </is>
      </c>
      <c r="B480" s="33" t="inlineStr">
        <is>
          <t>public/data/perfil_wiki.json</t>
        </is>
      </c>
      <c r="C480" s="33" t="inlineStr">
        <is>
          <t>temas.vivienda.var_indice_rentas_h1_2026_pct.valor</t>
        </is>
      </c>
      <c r="D480" s="33" t="inlineStr">
        <is>
          <t>(cifra de informe, copiada a la wiki)</t>
        </is>
      </c>
      <c r="E480" s="33" t="inlineStr">
        <is>
          <t>Variación del índice de rentas residenciales en el primer semestre de 2026.</t>
        </is>
      </c>
      <c r="F480" s="33" t="inlineStr">
        <is>
          <t>Decimal</t>
        </is>
      </c>
      <c r="G480" s="33" t="inlineStr">
        <is>
          <t>%</t>
        </is>
      </c>
      <c r="H480" s="33" t="inlineStr">
        <is>
          <t>2.6</t>
        </is>
      </c>
      <c r="I480" s="33" t="inlineStr">
        <is>
          <t>No</t>
        </is>
      </c>
      <c r="J480" s="33" t="inlineStr">
        <is>
          <t>valor único (cifra declarada)</t>
        </is>
      </c>
      <c r="K480" s="33" t="inlineStr">
        <is>
          <t>Pública</t>
        </is>
      </c>
      <c r="L480" s="33" t="inlineStr">
        <is>
          <t>Copiada a mano de la wiki del grupo; sello «declarado». Los campos que el lago ya calcula se retiraron (ver conciliacion.json).</t>
        </is>
      </c>
      <c r="M480" s="33" t="inlineStr">
        <is>
          <t>¿Está subiendo el arriendo? (Wiki 2.2)</t>
        </is>
      </c>
    </row>
    <row r="481" ht="15.75" customHeight="1" s="24">
      <c r="A481" s="33" t="inlineStr">
        <is>
          <t>F05</t>
        </is>
      </c>
      <c r="B481" s="33" t="inlineStr">
        <is>
          <t>public/data/perfil_wiki.json</t>
        </is>
      </c>
      <c r="C481" s="33" t="inlineStr">
        <is>
          <t>temas.vivienda.prevision_rentas_2026.valor</t>
        </is>
      </c>
      <c r="D481" s="33" t="inlineStr">
        <is>
          <t>(cifra de informe, copiada a la wiki)</t>
        </is>
      </c>
      <c r="E481" s="33" t="inlineStr">
        <is>
          <t>Rango de variación esperada de las rentas para todo 2026.</t>
        </is>
      </c>
      <c r="F481" s="33" t="inlineStr">
        <is>
          <t>Texto</t>
        </is>
      </c>
      <c r="G481" s="33" t="inlineStr">
        <is>
          <t>%</t>
        </is>
      </c>
      <c r="H481" s="33" t="inlineStr">
        <is>
          <t>+5 a +8</t>
        </is>
      </c>
      <c r="I481" s="33" t="inlineStr">
        <is>
          <t>No</t>
        </is>
      </c>
      <c r="J481" s="33" t="inlineStr">
        <is>
          <t>valor único (cifra declarada)</t>
        </is>
      </c>
      <c r="K481" s="33" t="inlineStr">
        <is>
          <t>Pública</t>
        </is>
      </c>
      <c r="L481" s="33" t="inlineStr">
        <is>
          <t>Copiada a mano de la wiki del grupo; sello «declarado». Los campos que el lago ya calcula se retiraron (ver conciliacion.json).</t>
        </is>
      </c>
      <c r="M481" s="33" t="inlineStr">
        <is>
          <t>¿Qué se espera del arriendo este año? (Wiki 2.2)</t>
        </is>
      </c>
    </row>
    <row r="482" ht="15.75" customHeight="1" s="24">
      <c r="A482" s="33" t="inlineStr">
        <is>
          <t>F05</t>
        </is>
      </c>
      <c r="B482" s="33" t="inlineStr">
        <is>
          <t>public/data/perfil_wiki.json</t>
        </is>
      </c>
      <c r="C482" s="33" t="inlineStr">
        <is>
          <t>temas.vivienda.vacancia_residencial_pct_2025.valor</t>
        </is>
      </c>
      <c r="D482" s="33" t="inlineStr">
        <is>
          <t>(cifra de informe, copiada a la wiki)</t>
        </is>
      </c>
      <c r="E482" s="33" t="inlineStr">
        <is>
          <t>Porcentaje del stock residencial privado vacío a cierre de 2025.</t>
        </is>
      </c>
      <c r="F482" s="33" t="inlineStr">
        <is>
          <t>Decimal</t>
        </is>
      </c>
      <c r="G482" s="33" t="inlineStr">
        <is>
          <t>%</t>
        </is>
      </c>
      <c r="H482" s="33" t="inlineStr">
        <is>
          <t>4.3</t>
        </is>
      </c>
      <c r="I482" s="33" t="inlineStr">
        <is>
          <t>No</t>
        </is>
      </c>
      <c r="J482" s="33" t="inlineStr">
        <is>
          <t>valor único (cifra declarada)</t>
        </is>
      </c>
      <c r="K482" s="33" t="inlineStr">
        <is>
          <t>Pública</t>
        </is>
      </c>
      <c r="L482" s="33" t="inlineStr">
        <is>
          <t>Copiada a mano de la wiki del grupo; sello «declarado». Los campos que el lago ya calcula se retiraron (ver conciliacion.json).</t>
        </is>
      </c>
      <c r="M482" s="33" t="inlineStr">
        <is>
          <t>¿Hay escasez de vivienda o falta de asequibilidad? (Wiki 2.9)</t>
        </is>
      </c>
    </row>
    <row r="483" ht="15.75" customHeight="1" s="24">
      <c r="A483" s="33" t="inlineStr">
        <is>
          <t>F05</t>
        </is>
      </c>
      <c r="B483" s="33" t="inlineStr">
        <is>
          <t>public/data/perfil_wiki.json</t>
        </is>
      </c>
      <c r="C483" s="33" t="inlineStr">
        <is>
          <t>temas.vivienda.viviendas_vacantes_2025.valor</t>
        </is>
      </c>
      <c r="D483" s="33" t="inlineStr">
        <is>
          <t>(cifra de informe, copiada a la wiki)</t>
        </is>
      </c>
      <c r="E483" s="33" t="inlineStr">
        <is>
          <t>Viviendas privadas vacías a cierre de 2025.</t>
        </is>
      </c>
      <c r="F483" s="33" t="inlineStr">
        <is>
          <t>Entero</t>
        </is>
      </c>
      <c r="G483" s="33" t="inlineStr">
        <is>
          <t>unidades</t>
        </is>
      </c>
      <c r="H483" s="33" t="inlineStr">
        <is>
          <t>56080</t>
        </is>
      </c>
      <c r="I483" s="33" t="inlineStr">
        <is>
          <t>No</t>
        </is>
      </c>
      <c r="J483" s="33" t="inlineStr">
        <is>
          <t>valor único (cifra declarada)</t>
        </is>
      </c>
      <c r="K483" s="33" t="inlineStr">
        <is>
          <t>Pública</t>
        </is>
      </c>
      <c r="L483" s="33" t="inlineStr">
        <is>
          <t>Copiada a mano de la wiki del grupo; sello «declarado». Los campos que el lago ya calcula se retiraron (ver conciliacion.json).</t>
        </is>
      </c>
      <c r="M483" s="33" t="inlineStr">
        <is>
          <t>¿Cuántas viviendas están vacías? (Wiki 2.9)</t>
        </is>
      </c>
    </row>
    <row r="484" ht="15.75" customHeight="1" s="24">
      <c r="A484" s="33" t="inlineStr">
        <is>
          <t>F05</t>
        </is>
      </c>
      <c r="B484" s="33" t="inlineStr">
        <is>
          <t>public/data/perfil_wiki.json</t>
        </is>
      </c>
      <c r="C484" s="33" t="inlineStr">
        <is>
          <t>temas.vivienda.vacantes_sin_certificado_2025.valor</t>
        </is>
      </c>
      <c r="D484" s="33" t="inlineStr">
        <is>
          <t>(cifra de informe, copiada a la wiki)</t>
        </is>
      </c>
      <c r="E484" s="33" t="inlineStr">
        <is>
          <t>Viviendas vacantes que aún no tenían Certificado de Cumplimiento/Cesión.</t>
        </is>
      </c>
      <c r="F484" s="33" t="inlineStr">
        <is>
          <t>Entero</t>
        </is>
      </c>
      <c r="G484" s="33" t="inlineStr">
        <is>
          <t>unidades</t>
        </is>
      </c>
      <c r="H484" s="33" t="inlineStr">
        <is>
          <t>7120</t>
        </is>
      </c>
      <c r="I484" s="33" t="inlineStr">
        <is>
          <t>No</t>
        </is>
      </c>
      <c r="J484" s="33" t="inlineStr">
        <is>
          <t>valor único (cifra declarada)</t>
        </is>
      </c>
      <c r="K484" s="33" t="inlineStr">
        <is>
          <t>Pública</t>
        </is>
      </c>
      <c r="L484" s="33" t="inlineStr">
        <is>
          <t>Copiada a mano de la wiki del grupo; sello «declarado». Los campos que el lago ya calcula se retiraron (ver conciliacion.json).</t>
        </is>
      </c>
      <c r="M484" s="33" t="inlineStr">
        <is>
          <t>¿Cuántas vacantes son obra recién terminada? (Wiki 2.9)</t>
        </is>
      </c>
    </row>
    <row r="485" ht="15.75" customHeight="1" s="24">
      <c r="A485" s="33" t="inlineStr">
        <is>
          <t>F05</t>
        </is>
      </c>
      <c r="B485" s="33" t="inlineStr">
        <is>
          <t>public/data/perfil_wiki.json</t>
        </is>
      </c>
      <c r="C485" s="33" t="inlineStr">
        <is>
          <t>temas.vivienda.oferta_privada_prevista_2026.valor</t>
        </is>
      </c>
      <c r="D485" s="33" t="inlineStr">
        <is>
          <t>(cifra de informe, copiada a la wiki)</t>
        </is>
      </c>
      <c r="E485" s="33" t="inlineStr">
        <is>
          <t>Viviendas privadas que se prevé terminar en 2026.</t>
        </is>
      </c>
      <c r="F485" s="33" t="inlineStr">
        <is>
          <t>Entero</t>
        </is>
      </c>
      <c r="G485" s="33" t="inlineStr">
        <is>
          <t>unidades</t>
        </is>
      </c>
      <c r="H485" s="33" t="inlineStr">
        <is>
          <t>16980</t>
        </is>
      </c>
      <c r="I485" s="33" t="inlineStr">
        <is>
          <t>No</t>
        </is>
      </c>
      <c r="J485" s="33" t="inlineStr">
        <is>
          <t>valor único (cifra declarada)</t>
        </is>
      </c>
      <c r="K485" s="33" t="inlineStr">
        <is>
          <t>Pública</t>
        </is>
      </c>
      <c r="L485" s="33" t="inlineStr">
        <is>
          <t>Copiada a mano de la wiki del grupo; sello «declarado». Los campos que el lago ya calcula se retiraron (ver conciliacion.json).</t>
        </is>
      </c>
      <c r="M485" s="33" t="inlineStr">
        <is>
          <t>¿Cuánta vivienda nueva llega al mercado? (Wiki 2.6)</t>
        </is>
      </c>
    </row>
    <row r="486" ht="15.75" customHeight="1" s="24">
      <c r="A486" s="33" t="inlineStr">
        <is>
          <t>F05</t>
        </is>
      </c>
      <c r="B486" s="33" t="inlineStr">
        <is>
          <t>public/data/perfil_wiki.json</t>
        </is>
      </c>
      <c r="C486" s="33" t="inlineStr">
        <is>
          <t>temas.vivienda.oferta_privada_prevista_2027.valor</t>
        </is>
      </c>
      <c r="D486" s="33" t="inlineStr">
        <is>
          <t>(cifra de informe, copiada a la wiki)</t>
        </is>
      </c>
      <c r="E486" s="33" t="inlineStr">
        <is>
          <t>Viviendas privadas que se prevé terminar en 2027.</t>
        </is>
      </c>
      <c r="F486" s="33" t="inlineStr">
        <is>
          <t>Entero</t>
        </is>
      </c>
      <c r="G486" s="33" t="inlineStr">
        <is>
          <t>unidades</t>
        </is>
      </c>
      <c r="H486" s="33" t="inlineStr">
        <is>
          <t>15360</t>
        </is>
      </c>
      <c r="I486" s="33" t="inlineStr">
        <is>
          <t>No</t>
        </is>
      </c>
      <c r="J486" s="33" t="inlineStr">
        <is>
          <t>valor único (cifra declarada)</t>
        </is>
      </c>
      <c r="K486" s="33" t="inlineStr">
        <is>
          <t>Pública</t>
        </is>
      </c>
      <c r="L486" s="33" t="inlineStr">
        <is>
          <t>Copiada a mano de la wiki del grupo; sello «declarado». Los campos que el lago ya calcula se retiraron (ver conciliacion.json).</t>
        </is>
      </c>
      <c r="M486" s="33" t="inlineStr">
        <is>
          <t>¿La oferta va al alza o a la baja? (Wiki 2.6)</t>
        </is>
      </c>
    </row>
    <row r="487" ht="15.75" customHeight="1" s="24">
      <c r="A487" s="33" t="inlineStr">
        <is>
          <t>F05</t>
        </is>
      </c>
      <c r="B487" s="33" t="inlineStr">
        <is>
          <t>public/data/perfil_wiki.json</t>
        </is>
      </c>
      <c r="C487" s="33" t="inlineStr">
        <is>
          <t>temas.vivienda.viviendas_privadas_terminadas_2024.valor</t>
        </is>
      </c>
      <c r="D487" s="33" t="inlineStr">
        <is>
          <t>(cifra de informe, copiada a la wiki)</t>
        </is>
      </c>
      <c r="E487" s="33" t="inlineStr">
        <is>
          <t>Viviendas privadas terminadas en 2024 (máximo en 20 años).</t>
        </is>
      </c>
      <c r="F487" s="33" t="inlineStr">
        <is>
          <t>Entero</t>
        </is>
      </c>
      <c r="G487" s="33" t="inlineStr">
        <is>
          <t>unidades</t>
        </is>
      </c>
      <c r="H487" s="33" t="inlineStr">
        <is>
          <t>24261</t>
        </is>
      </c>
      <c r="I487" s="33" t="inlineStr">
        <is>
          <t>No</t>
        </is>
      </c>
      <c r="J487" s="33" t="inlineStr">
        <is>
          <t>valor único (cifra declarada)</t>
        </is>
      </c>
      <c r="K487" s="33" t="inlineStr">
        <is>
          <t>Pública</t>
        </is>
      </c>
      <c r="L487" s="33" t="inlineStr">
        <is>
          <t>Copiada a mano de la wiki del grupo; sello «declarado». Los campos que el lago ya calcula se retiraron (ver conciliacion.json).</t>
        </is>
      </c>
      <c r="M487" s="33" t="inlineStr">
        <is>
          <t>¿Cuánta vivienda se construyó en el último pico? (Wiki 2.6)</t>
        </is>
      </c>
    </row>
    <row r="488" ht="15.75" customHeight="1" s="24">
      <c r="A488" s="33" t="inlineStr">
        <is>
          <t>F05</t>
        </is>
      </c>
      <c r="B488" s="33" t="inlineStr">
        <is>
          <t>public/data/perfil_wiki.json</t>
        </is>
      </c>
      <c r="C488" s="33" t="inlineStr">
        <is>
          <t>temas.vivienda.stock_viviendas_privadas_2025.valor</t>
        </is>
      </c>
      <c r="D488" s="33" t="inlineStr">
        <is>
          <t>(cifra de informe, copiada a la wiki)</t>
        </is>
      </c>
      <c r="E488" s="33" t="inlineStr">
        <is>
          <t>Total aproximado de viviendas privadas a fin de 2025.</t>
        </is>
      </c>
      <c r="F488" s="33" t="inlineStr">
        <is>
          <t>Entero</t>
        </is>
      </c>
      <c r="G488" s="33" t="inlineStr">
        <is>
          <t>unidades</t>
        </is>
      </c>
      <c r="H488" s="33" t="inlineStr">
        <is>
          <t>1310000</t>
        </is>
      </c>
      <c r="I488" s="33" t="inlineStr">
        <is>
          <t>No</t>
        </is>
      </c>
      <c r="J488" s="33" t="inlineStr">
        <is>
          <t>valor único (cifra declarada)</t>
        </is>
      </c>
      <c r="K488" s="33" t="inlineStr">
        <is>
          <t>Pública</t>
        </is>
      </c>
      <c r="L488" s="33" t="inlineStr">
        <is>
          <t>Copiada a mano de la wiki del grupo; sello «declarado». Los campos que el lago ya calcula se retiraron (ver conciliacion.json).</t>
        </is>
      </c>
      <c r="M488" s="33" t="inlineStr">
        <is>
          <t>¿Qué tamaño tiene el parque de vivienda privada? (Wiki 2.6)</t>
        </is>
      </c>
    </row>
    <row r="489" ht="15.75" customHeight="1" s="24">
      <c r="A489" s="33" t="inlineStr">
        <is>
          <t>F06</t>
        </is>
      </c>
      <c r="B489" s="33" t="inlineStr">
        <is>
          <t>public/data/perfil_wiki.json</t>
        </is>
      </c>
      <c r="C489" s="33" t="inlineStr">
        <is>
          <t>temas.vivienda.renta_media_prh_mar2025.valor</t>
        </is>
      </c>
      <c r="D489" s="33" t="inlineStr">
        <is>
          <t>(cifra de informe, copiada a la wiki)</t>
        </is>
      </c>
      <c r="E489" s="33" t="inlineStr">
        <is>
          <t>Renta mensual promedio de la vivienda pública de alquiler (marzo de 2025).</t>
        </is>
      </c>
      <c r="F489" s="33" t="inlineStr">
        <is>
          <t>Entero</t>
        </is>
      </c>
      <c r="G489" s="33" t="inlineStr">
        <is>
          <t>HK$ por mes</t>
        </is>
      </c>
      <c r="H489" s="33" t="inlineStr">
        <is>
          <t>2523</t>
        </is>
      </c>
      <c r="I489" s="33" t="inlineStr">
        <is>
          <t>No</t>
        </is>
      </c>
      <c r="J489" s="33" t="inlineStr">
        <is>
          <t>valor único (cifra declarada)</t>
        </is>
      </c>
      <c r="K489" s="33" t="inlineStr">
        <is>
          <t>Pública</t>
        </is>
      </c>
      <c r="L489" s="33" t="inlineStr">
        <is>
          <t>Copiada a mano de la wiki del grupo; sello «declarado». Los campos que el lago ya calcula se retiraron (ver conciliacion.json).</t>
        </is>
      </c>
      <c r="M489" s="33" t="inlineStr">
        <is>
          <t>¿Cuánto paga un inquilino de vivienda pública? (Wiki 2.4)</t>
        </is>
      </c>
    </row>
    <row r="490" ht="15.75" customHeight="1" s="24">
      <c r="A490" s="33" t="inlineStr">
        <is>
          <t>F06</t>
        </is>
      </c>
      <c r="B490" s="33" t="inlineStr">
        <is>
          <t>public/data/perfil_wiki.json</t>
        </is>
      </c>
      <c r="C490" s="33" t="inlineStr">
        <is>
          <t>temas.vivienda.solicitudes_prh_generales_mar2025.valor</t>
        </is>
      </c>
      <c r="D490" s="33" t="inlineStr">
        <is>
          <t>(cifra de informe, copiada a la wiki)</t>
        </is>
      </c>
      <c r="E490" s="33" t="inlineStr">
        <is>
          <t>Solicitudes generales en lista de espera de vivienda pública (marzo de 2025).</t>
        </is>
      </c>
      <c r="F490" s="33" t="inlineStr">
        <is>
          <t>Entero</t>
        </is>
      </c>
      <c r="G490" s="33" t="inlineStr">
        <is>
          <t>solicitudes</t>
        </is>
      </c>
      <c r="H490" s="33" t="inlineStr">
        <is>
          <t>116400</t>
        </is>
      </c>
      <c r="I490" s="33" t="inlineStr">
        <is>
          <t>No</t>
        </is>
      </c>
      <c r="J490" s="33" t="inlineStr">
        <is>
          <t>valor único (cifra declarada)</t>
        </is>
      </c>
      <c r="K490" s="33" t="inlineStr">
        <is>
          <t>Pública</t>
        </is>
      </c>
      <c r="L490" s="33" t="inlineStr">
        <is>
          <t>Copiada a mano de la wiki del grupo; sello «declarado». Los campos que el lago ya calcula se retiraron (ver conciliacion.json).</t>
        </is>
      </c>
      <c r="M490" s="33" t="inlineStr">
        <is>
          <t>¿Cuánta gente espera vivienda pública? (Wiki 2.5)</t>
        </is>
      </c>
    </row>
    <row r="491" ht="15.75" customHeight="1" s="24">
      <c r="A491" s="33" t="inlineStr">
        <is>
          <t>F06</t>
        </is>
      </c>
      <c r="B491" s="33" t="inlineStr">
        <is>
          <t>public/data/perfil_wiki.json</t>
        </is>
      </c>
      <c r="C491" s="33" t="inlineStr">
        <is>
          <t>temas.vivienda.tiempo_espera_compuesto_anios_mar2026.valor</t>
        </is>
      </c>
      <c r="D491" s="33" t="inlineStr">
        <is>
          <t>(cifra de informe, copiada a la wiki)</t>
        </is>
      </c>
      <c r="E491" s="33" t="inlineStr">
        <is>
          <t>Tiempo de espera compuesto para obtener vivienda pública (marzo de 2026).</t>
        </is>
      </c>
      <c r="F491" s="33" t="inlineStr">
        <is>
          <t>Decimal</t>
        </is>
      </c>
      <c r="G491" s="33" t="inlineStr">
        <is>
          <t>años</t>
        </is>
      </c>
      <c r="H491" s="33" t="inlineStr">
        <is>
          <t>4.7</t>
        </is>
      </c>
      <c r="I491" s="33" t="inlineStr">
        <is>
          <t>No</t>
        </is>
      </c>
      <c r="J491" s="33" t="inlineStr">
        <is>
          <t>valor único (cifra declarada)</t>
        </is>
      </c>
      <c r="K491" s="33" t="inlineStr">
        <is>
          <t>Pública</t>
        </is>
      </c>
      <c r="L491" s="33" t="inlineStr">
        <is>
          <t>Copiada a mano de la wiki del grupo; sello «declarado». Los campos que el lago ya calcula se retiraron (ver conciliacion.json).</t>
        </is>
      </c>
      <c r="M491" s="33" t="inlineStr">
        <is>
          <t>¿Cuánto tarda una familia en recibir vivienda pública? (Wiki 2.5)</t>
        </is>
      </c>
    </row>
    <row r="492" ht="15.75" customHeight="1" s="24">
      <c r="A492" s="33" t="inlineStr">
        <is>
          <t>F06</t>
        </is>
      </c>
      <c r="B492" s="33" t="inlineStr">
        <is>
          <t>public/data/perfil_wiki.json</t>
        </is>
      </c>
      <c r="C492" s="33" t="inlineStr">
        <is>
          <t>temas.vivienda.tiempo_espera_prh_tradicional_anios.valor</t>
        </is>
      </c>
      <c r="D492" s="33" t="inlineStr">
        <is>
          <t>(cifra de informe, copiada a la wiki)</t>
        </is>
      </c>
      <c r="E492" s="33" t="inlineStr">
        <is>
          <t>Espera para vivienda pública tradicional estándar.</t>
        </is>
      </c>
      <c r="F492" s="33" t="inlineStr">
        <is>
          <t>Decimal</t>
        </is>
      </c>
      <c r="G492" s="33" t="inlineStr">
        <is>
          <t>años</t>
        </is>
      </c>
      <c r="H492" s="33" t="inlineStr">
        <is>
          <t>5.6</t>
        </is>
      </c>
      <c r="I492" s="33" t="inlineStr">
        <is>
          <t>No</t>
        </is>
      </c>
      <c r="J492" s="33" t="inlineStr">
        <is>
          <t>valor único (cifra declarada)</t>
        </is>
      </c>
      <c r="K492" s="33" t="inlineStr">
        <is>
          <t>Pública</t>
        </is>
      </c>
      <c r="L492" s="33" t="inlineStr">
        <is>
          <t>Copiada a mano de la wiki del grupo; sello «declarado». Los campos que el lago ya calcula se retiraron (ver conciliacion.json).</t>
        </is>
      </c>
      <c r="M492" s="33" t="inlineStr">
        <is>
          <t>¿Mejora la espera para la vivienda pública tradicional? (Wiki 2.5)</t>
        </is>
      </c>
    </row>
    <row r="493" ht="15.75" customHeight="1" s="24">
      <c r="A493" s="33" t="inlineStr">
        <is>
          <t>F06</t>
        </is>
      </c>
      <c r="B493" s="33" t="inlineStr">
        <is>
          <t>public/data/perfil_wiki.json</t>
        </is>
      </c>
      <c r="C493" s="33" t="inlineStr">
        <is>
          <t>temas.vivienda.light_public_housing_unidades_1t2026.valor</t>
        </is>
      </c>
      <c r="D493" s="33" t="inlineStr">
        <is>
          <t>(cifra de informe, copiada a la wiki)</t>
        </is>
      </c>
      <c r="E493" s="33" t="inlineStr">
        <is>
          <t>Unidades de Light Public Housing disponibles al primer trimestre de 2026.</t>
        </is>
      </c>
      <c r="F493" s="33" t="inlineStr">
        <is>
          <t>Entero</t>
        </is>
      </c>
      <c r="G493" s="33" t="inlineStr">
        <is>
          <t>unidades</t>
        </is>
      </c>
      <c r="H493" s="33" t="inlineStr">
        <is>
          <t>9650</t>
        </is>
      </c>
      <c r="I493" s="33" t="inlineStr">
        <is>
          <t>No</t>
        </is>
      </c>
      <c r="J493" s="33" t="inlineStr">
        <is>
          <t>valor único (cifra declarada)</t>
        </is>
      </c>
      <c r="K493" s="33" t="inlineStr">
        <is>
          <t>Pública</t>
        </is>
      </c>
      <c r="L493" s="33" t="inlineStr">
        <is>
          <t>Copiada a mano de la wiki del grupo; sello «declarado». Los campos que el lago ya calcula se retiraron (ver conciliacion.json).</t>
        </is>
      </c>
      <c r="M493" s="33" t="inlineStr">
        <is>
          <t>¿Cuánto avanza la vivienda pública transitoria? (Wiki 2.5)</t>
        </is>
      </c>
    </row>
    <row r="494" ht="15.75" customHeight="1" s="24">
      <c r="A494" s="33" t="inlineStr">
        <is>
          <t>F06</t>
        </is>
      </c>
      <c r="B494" s="33" t="inlineStr">
        <is>
          <t>public/data/perfil_wiki.json</t>
        </is>
      </c>
      <c r="C494" s="33" t="inlineStr">
        <is>
          <t>temas.vivienda.light_public_housing_meta_2027_28.valor</t>
        </is>
      </c>
      <c r="D494" s="33" t="inlineStr">
        <is>
          <t>(cifra de informe, copiada a la wiki)</t>
        </is>
      </c>
      <c r="E494" s="33" t="inlineStr">
        <is>
          <t>Meta de unidades de Light Public Housing para 2027/28.</t>
        </is>
      </c>
      <c r="F494" s="33" t="inlineStr">
        <is>
          <t>Entero</t>
        </is>
      </c>
      <c r="G494" s="33" t="inlineStr">
        <is>
          <t>unidades</t>
        </is>
      </c>
      <c r="H494" s="33" t="inlineStr">
        <is>
          <t>30000</t>
        </is>
      </c>
      <c r="I494" s="33" t="inlineStr">
        <is>
          <t>No</t>
        </is>
      </c>
      <c r="J494" s="33" t="inlineStr">
        <is>
          <t>valor único (cifra declarada)</t>
        </is>
      </c>
      <c r="K494" s="33" t="inlineStr">
        <is>
          <t>Pública</t>
        </is>
      </c>
      <c r="L494" s="33" t="inlineStr">
        <is>
          <t>Copiada a mano de la wiki del grupo; sello «declarado». Los campos que el lago ya calcula se retiraron (ver conciliacion.json).</t>
        </is>
      </c>
      <c r="M494" s="33" t="inlineStr">
        <is>
          <t>¿Qué tan lejos está la meta de vivienda transitoria? (Wiki 2.5)</t>
        </is>
      </c>
    </row>
    <row r="495" ht="15.75" customHeight="1" s="24">
      <c r="A495" s="33" t="inlineStr">
        <is>
          <t>F06</t>
        </is>
      </c>
      <c r="B495" s="33" t="inlineStr">
        <is>
          <t>public/data/perfil_wiki.json</t>
        </is>
      </c>
      <c r="C495" s="33" t="inlineStr">
        <is>
          <t>temas.vivienda.oferta_publica_proyectada_5_anios.valor</t>
        </is>
      </c>
      <c r="D495" s="33" t="inlineStr">
        <is>
          <t>(cifra de informe, copiada a la wiki)</t>
        </is>
      </c>
      <c r="E495" s="33" t="inlineStr">
        <is>
          <t>Viviendas públicas que se proyecta entregar en los próximos 5 años.</t>
        </is>
      </c>
      <c r="F495" s="33" t="inlineStr">
        <is>
          <t>Entero</t>
        </is>
      </c>
      <c r="G495" s="33" t="inlineStr">
        <is>
          <t>unidades</t>
        </is>
      </c>
      <c r="H495" s="33" t="inlineStr">
        <is>
          <t>196000</t>
        </is>
      </c>
      <c r="I495" s="33" t="inlineStr">
        <is>
          <t>No</t>
        </is>
      </c>
      <c r="J495" s="33" t="inlineStr">
        <is>
          <t>valor único (cifra declarada)</t>
        </is>
      </c>
      <c r="K495" s="33" t="inlineStr">
        <is>
          <t>Pública</t>
        </is>
      </c>
      <c r="L495" s="33" t="inlineStr">
        <is>
          <t>Copiada a mano de la wiki del grupo; sello «declarado». Los campos que el lago ya calcula se retiraron (ver conciliacion.json).</t>
        </is>
      </c>
      <c r="M495" s="33" t="inlineStr">
        <is>
          <t>¿Cuánta vivienda pública llegará? (Wiki 2.5, 2.6)</t>
        </is>
      </c>
    </row>
    <row r="496" ht="15.75" customHeight="1" s="24">
      <c r="A496" s="33" t="inlineStr">
        <is>
          <t>F08</t>
        </is>
      </c>
      <c r="B496" s="33" t="inlineStr">
        <is>
          <t>public/data/perfil_wiki.json</t>
        </is>
      </c>
      <c r="C496" s="33" t="inlineStr">
        <is>
          <t>temas.finanzas_publicas.ingreso_total_2026_27.valor</t>
        </is>
      </c>
      <c r="D496" s="33" t="inlineStr">
        <is>
          <t>(cifra de informe, copiada a la wiki)</t>
        </is>
      </c>
      <c r="E496" s="33" t="inlineStr">
        <is>
          <t>Ingreso total del Gobierno estimado para el año fiscal 2026-27.</t>
        </is>
      </c>
      <c r="F496" s="33" t="inlineStr">
        <is>
          <t>Entero</t>
        </is>
      </c>
      <c r="G496" s="33" t="inlineStr">
        <is>
          <t>HK$ millones</t>
        </is>
      </c>
      <c r="H496" s="33" t="inlineStr">
        <is>
          <t>765200</t>
        </is>
      </c>
      <c r="I496" s="33" t="inlineStr">
        <is>
          <t>No</t>
        </is>
      </c>
      <c r="J496" s="33" t="inlineStr">
        <is>
          <t>valor único (cifra declarada)</t>
        </is>
      </c>
      <c r="K496" s="33" t="inlineStr">
        <is>
          <t>Pública</t>
        </is>
      </c>
      <c r="L496" s="33" t="inlineStr">
        <is>
          <t>Copiada a mano de la wiki del grupo; sello «declarado». Los campos que el lago ya calcula se retiraron (ver conciliacion.json).</t>
        </is>
      </c>
      <c r="M496" s="33" t="inlineStr">
        <is>
          <t>¿Con cuánto dinero cuenta el Gobierno? (Wiki 3.1)</t>
        </is>
      </c>
    </row>
    <row r="497" ht="15.75" customHeight="1" s="24">
      <c r="A497" s="33" t="inlineStr">
        <is>
          <t>F08</t>
        </is>
      </c>
      <c r="B497" s="33" t="inlineStr">
        <is>
          <t>public/data/perfil_wiki.json</t>
        </is>
      </c>
      <c r="C497" s="33" t="inlineStr">
        <is>
          <t>temas.finanzas_publicas.gasto_pct_pib_2026_27.valor</t>
        </is>
      </c>
      <c r="D497" s="33" t="inlineStr">
        <is>
          <t>(cifra de informe, copiada a la wiki)</t>
        </is>
      </c>
      <c r="E497" s="33" t="inlineStr">
        <is>
          <t>Gasto público como porcentaje del PIB.</t>
        </is>
      </c>
      <c r="F497" s="33" t="inlineStr">
        <is>
          <t>Decimal</t>
        </is>
      </c>
      <c r="G497" s="33" t="inlineStr">
        <is>
          <t>% del PIB</t>
        </is>
      </c>
      <c r="H497" s="33" t="inlineStr">
        <is>
          <t>24.2</t>
        </is>
      </c>
      <c r="I497" s="33" t="inlineStr">
        <is>
          <t>No</t>
        </is>
      </c>
      <c r="J497" s="33" t="inlineStr">
        <is>
          <t>valor único (cifra declarada)</t>
        </is>
      </c>
      <c r="K497" s="33" t="inlineStr">
        <is>
          <t>Pública</t>
        </is>
      </c>
      <c r="L497" s="33" t="inlineStr">
        <is>
          <t>Copiada a mano de la wiki del grupo; sello «declarado». Los campos que el lago ya calcula se retiraron (ver conciliacion.json).</t>
        </is>
      </c>
      <c r="M497" s="33" t="inlineStr">
        <is>
          <t>¿Qué tan grande es el Estado en la economía? (Wiki 3.1)</t>
        </is>
      </c>
    </row>
    <row r="498" ht="15.75" customHeight="1" s="24">
      <c r="A498" s="33" t="inlineStr">
        <is>
          <t>F08</t>
        </is>
      </c>
      <c r="B498" s="33" t="inlineStr">
        <is>
          <t>public/data/perfil_wiki.json</t>
        </is>
      </c>
      <c r="C498" s="33" t="inlineStr">
        <is>
          <t>temas.finanzas_publicas.impuestos_ganancias_y_salarios_2026_27.valor</t>
        </is>
      </c>
      <c r="D498" s="33" t="inlineStr">
        <is>
          <t>(cifra de informe, copiada a la wiki)</t>
        </is>
      </c>
      <c r="E498" s="33" t="inlineStr">
        <is>
          <t>Recaudación conjunta de impuestos sobre ganancias y salarios.</t>
        </is>
      </c>
      <c r="F498" s="33" t="inlineStr">
        <is>
          <t>Entero</t>
        </is>
      </c>
      <c r="G498" s="33" t="inlineStr">
        <is>
          <t>HK$ millones</t>
        </is>
      </c>
      <c r="H498" s="33" t="inlineStr">
        <is>
          <t>321200</t>
        </is>
      </c>
      <c r="I498" s="33" t="inlineStr">
        <is>
          <t>No</t>
        </is>
      </c>
      <c r="J498" s="33" t="inlineStr">
        <is>
          <t>valor único (cifra declarada)</t>
        </is>
      </c>
      <c r="K498" s="33" t="inlineStr">
        <is>
          <t>Pública</t>
        </is>
      </c>
      <c r="L498" s="33" t="inlineStr">
        <is>
          <t>Copiada a mano de la wiki del grupo; sello «declarado». Los campos que el lago ya calcula se retiraron (ver conciliacion.json).</t>
        </is>
      </c>
      <c r="M498" s="33" t="inlineStr">
        <is>
          <t>¿Cuál es la principal fuente de ingreso fiscal? (Wiki 3.1, 3.2)</t>
        </is>
      </c>
    </row>
    <row r="499" ht="15.75" customHeight="1" s="24">
      <c r="A499" s="33" t="inlineStr">
        <is>
          <t>F08</t>
        </is>
      </c>
      <c r="B499" s="33" t="inlineStr">
        <is>
          <t>public/data/perfil_wiki.json</t>
        </is>
      </c>
      <c r="C499" s="33" t="inlineStr">
        <is>
          <t>temas.finanzas_publicas.derechos_timbre_2026_27.valor</t>
        </is>
      </c>
      <c r="D499" s="33" t="inlineStr">
        <is>
          <t>(cifra de informe, copiada a la wiki)</t>
        </is>
      </c>
      <c r="E499" s="33" t="inlineStr">
        <is>
          <t>Recaudación estimada por derechos de timbre.</t>
        </is>
      </c>
      <c r="F499" s="33" t="inlineStr">
        <is>
          <t>Entero</t>
        </is>
      </c>
      <c r="G499" s="33" t="inlineStr">
        <is>
          <t>HK$ millones</t>
        </is>
      </c>
      <c r="H499" s="33" t="inlineStr">
        <is>
          <t>101000</t>
        </is>
      </c>
      <c r="I499" s="33" t="inlineStr">
        <is>
          <t>No</t>
        </is>
      </c>
      <c r="J499" s="33" t="inlineStr">
        <is>
          <t>valor único (cifra declarada)</t>
        </is>
      </c>
      <c r="K499" s="33" t="inlineStr">
        <is>
          <t>Pública</t>
        </is>
      </c>
      <c r="L499" s="33" t="inlineStr">
        <is>
          <t>Copiada a mano de la wiki del grupo; sello «declarado». Los campos que el lago ya calcula se retiraron (ver conciliacion.json).</t>
        </is>
      </c>
      <c r="M499" s="33" t="inlineStr">
        <is>
          <t>¿Cuánto depende el fisco del mercado bursátil e inmobiliario? (Wiki 3.3)</t>
        </is>
      </c>
    </row>
    <row r="500" ht="15.75" customHeight="1" s="24">
      <c r="A500" s="33" t="inlineStr">
        <is>
          <t>F08</t>
        </is>
      </c>
      <c r="B500" s="33" t="inlineStr">
        <is>
          <t>public/data/perfil_wiki.json</t>
        </is>
      </c>
      <c r="C500" s="33" t="inlineStr">
        <is>
          <t>temas.finanzas_publicas.ingreso_suelo_2026_27.valor</t>
        </is>
      </c>
      <c r="D500" s="33" t="inlineStr">
        <is>
          <t>(cifra de informe, copiada a la wiki)</t>
        </is>
      </c>
      <c r="E500" s="33" t="inlineStr">
        <is>
          <t>Ingreso estimado por venta/arriendo de suelo.</t>
        </is>
      </c>
      <c r="F500" s="33" t="inlineStr">
        <is>
          <t>Entero</t>
        </is>
      </c>
      <c r="G500" s="33" t="inlineStr">
        <is>
          <t>HK$ millones</t>
        </is>
      </c>
      <c r="H500" s="33" t="inlineStr">
        <is>
          <t>18000</t>
        </is>
      </c>
      <c r="I500" s="33" t="inlineStr">
        <is>
          <t>No</t>
        </is>
      </c>
      <c r="J500" s="33" t="inlineStr">
        <is>
          <t>valor único (cifra declarada)</t>
        </is>
      </c>
      <c r="K500" s="33" t="inlineStr">
        <is>
          <t>Pública</t>
        </is>
      </c>
      <c r="L500" s="33" t="inlineStr">
        <is>
          <t>Copiada a mano de la wiki del grupo; sello «declarado». Los campos que el lago ya calcula se retiraron (ver conciliacion.json).</t>
        </is>
      </c>
      <c r="M500" s="33" t="inlineStr">
        <is>
          <t>¿Qué tan volátil es el ingreso por suelo? (Wiki 3.4)</t>
        </is>
      </c>
    </row>
    <row r="501" ht="15.75" customHeight="1" s="24">
      <c r="A501" s="33" t="inlineStr">
        <is>
          <t>F08</t>
        </is>
      </c>
      <c r="B501" s="33" t="inlineStr">
        <is>
          <t>public/data/perfil_wiki.json</t>
        </is>
      </c>
      <c r="C501" s="33" t="inlineStr">
        <is>
          <t>temas.finanzas_publicas.gasto_total_2026_27.valor</t>
        </is>
      </c>
      <c r="D501" s="33" t="inlineStr">
        <is>
          <t>(cifra de informe, copiada a la wiki)</t>
        </is>
      </c>
      <c r="E501" s="33" t="inlineStr">
        <is>
          <t>Gasto total del Gobierno estimado para 2026-27.</t>
        </is>
      </c>
      <c r="F501" s="33" t="inlineStr">
        <is>
          <t>Entero</t>
        </is>
      </c>
      <c r="G501" s="33" t="inlineStr">
        <is>
          <t>HK$ millones</t>
        </is>
      </c>
      <c r="H501" s="33" t="inlineStr">
        <is>
          <t>843400</t>
        </is>
      </c>
      <c r="I501" s="33" t="inlineStr">
        <is>
          <t>No</t>
        </is>
      </c>
      <c r="J501" s="33" t="inlineStr">
        <is>
          <t>valor único (cifra declarada)</t>
        </is>
      </c>
      <c r="K501" s="33" t="inlineStr">
        <is>
          <t>Pública</t>
        </is>
      </c>
      <c r="L501" s="33" t="inlineStr">
        <is>
          <t>Copiada a mano de la wiki del grupo; sello «declarado». Los campos que el lago ya calcula se retiraron (ver conciliacion.json).</t>
        </is>
      </c>
      <c r="M501" s="33" t="inlineStr">
        <is>
          <t>¿Cuánto gasta el Gobierno? (Wiki 3.5)</t>
        </is>
      </c>
    </row>
    <row r="502" ht="15.75" customHeight="1" s="24">
      <c r="A502" s="33" t="inlineStr">
        <is>
          <t>F08</t>
        </is>
      </c>
      <c r="B502" s="33" t="inlineStr">
        <is>
          <t>public/data/perfil_wiki.json</t>
        </is>
      </c>
      <c r="C502" s="33" t="inlineStr">
        <is>
          <t>temas.finanzas_publicas.var_gasto_total_pct.valor</t>
        </is>
      </c>
      <c r="D502" s="33" t="inlineStr">
        <is>
          <t>(cifra de informe, copiada a la wiki)</t>
        </is>
      </c>
      <c r="E502" s="33" t="inlineStr">
        <is>
          <t>Variación del gasto total frente al año anterior.</t>
        </is>
      </c>
      <c r="F502" s="33" t="inlineStr">
        <is>
          <t>Decimal</t>
        </is>
      </c>
      <c r="G502" s="33" t="inlineStr">
        <is>
          <t>%</t>
        </is>
      </c>
      <c r="H502" s="33" t="inlineStr">
        <is>
          <t>6.9</t>
        </is>
      </c>
      <c r="I502" s="33" t="inlineStr">
        <is>
          <t>No</t>
        </is>
      </c>
      <c r="J502" s="33" t="inlineStr">
        <is>
          <t>valor único (cifra declarada)</t>
        </is>
      </c>
      <c r="K502" s="33" t="inlineStr">
        <is>
          <t>Pública</t>
        </is>
      </c>
      <c r="L502" s="33" t="inlineStr">
        <is>
          <t>Copiada a mano de la wiki del grupo; sello «declarado». Los campos que el lago ya calcula se retiraron (ver conciliacion.json).</t>
        </is>
      </c>
      <c r="M502" s="33" t="inlineStr">
        <is>
          <t>¿El gasto público se está expandiendo? (Wiki 3.5)</t>
        </is>
      </c>
    </row>
    <row r="503" ht="15.75" customHeight="1" s="24">
      <c r="A503" s="33" t="inlineStr">
        <is>
          <t>F08</t>
        </is>
      </c>
      <c r="B503" s="33" t="inlineStr">
        <is>
          <t>public/data/perfil_wiki.json</t>
        </is>
      </c>
      <c r="C503" s="33" t="inlineStr">
        <is>
          <t>temas.finanzas_publicas.gasto_recurrente_2026_27.valor</t>
        </is>
      </c>
      <c r="D503" s="33" t="inlineStr">
        <is>
          <t>(cifra de informe, copiada a la wiki)</t>
        </is>
      </c>
      <c r="E503" s="33" t="inlineStr">
        <is>
          <t>Gasto recurrente estimado.</t>
        </is>
      </c>
      <c r="F503" s="33" t="inlineStr">
        <is>
          <t>Entero</t>
        </is>
      </c>
      <c r="G503" s="33" t="inlineStr">
        <is>
          <t>HK$ millones</t>
        </is>
      </c>
      <c r="H503" s="33" t="inlineStr">
        <is>
          <t>599700</t>
        </is>
      </c>
      <c r="I503" s="33" t="inlineStr">
        <is>
          <t>No</t>
        </is>
      </c>
      <c r="J503" s="33" t="inlineStr">
        <is>
          <t>valor único (cifra declarada)</t>
        </is>
      </c>
      <c r="K503" s="33" t="inlineStr">
        <is>
          <t>Pública</t>
        </is>
      </c>
      <c r="L503" s="33" t="inlineStr">
        <is>
          <t>Copiada a mano de la wiki del grupo; sello «declarado». Los campos que el lago ya calcula se retiraron (ver conciliacion.json).</t>
        </is>
      </c>
      <c r="M503" s="33" t="inlineStr">
        <is>
          <t>¿Cuánto del gasto es permanente? (Wiki 3.5)</t>
        </is>
      </c>
    </row>
    <row r="504" ht="15.75" customHeight="1" s="24">
      <c r="A504" s="33" t="inlineStr">
        <is>
          <t>F08</t>
        </is>
      </c>
      <c r="B504" s="33" t="inlineStr">
        <is>
          <t>public/data/perfil_wiki.json</t>
        </is>
      </c>
      <c r="C504" s="33" t="inlineStr">
        <is>
          <t>temas.finanzas_publicas.gasto_salud_bienestar_educacion_2026_27.valor</t>
        </is>
      </c>
      <c r="D504" s="33" t="inlineStr">
        <is>
          <t>(cifra de informe, copiada a la wiki)</t>
        </is>
      </c>
      <c r="E504" s="33" t="inlineStr">
        <is>
          <t>Gasto en salud, bienestar y educación (~60 % del recurrente).</t>
        </is>
      </c>
      <c r="F504" s="33" t="inlineStr">
        <is>
          <t>Entero</t>
        </is>
      </c>
      <c r="G504" s="33" t="inlineStr">
        <is>
          <t>HK$ millones</t>
        </is>
      </c>
      <c r="H504" s="33" t="inlineStr">
        <is>
          <t>357100</t>
        </is>
      </c>
      <c r="I504" s="33" t="inlineStr">
        <is>
          <t>No</t>
        </is>
      </c>
      <c r="J504" s="33" t="inlineStr">
        <is>
          <t>valor único (cifra declarada)</t>
        </is>
      </c>
      <c r="K504" s="33" t="inlineStr">
        <is>
          <t>Pública</t>
        </is>
      </c>
      <c r="L504" s="33" t="inlineStr">
        <is>
          <t>Copiada a mano de la wiki del grupo; sello «declarado». Los campos que el lago ya calcula se retiraron (ver conciliacion.json).</t>
        </is>
      </c>
      <c r="M504" s="33" t="inlineStr">
        <is>
          <t>¿Cuánto se invierte en lo social? (Wiki 3.5)</t>
        </is>
      </c>
    </row>
    <row r="505" ht="15.75" customHeight="1" s="24">
      <c r="A505" s="33" t="inlineStr">
        <is>
          <t>F08</t>
        </is>
      </c>
      <c r="B505" s="33" t="inlineStr">
        <is>
          <t>public/data/perfil_wiki.json</t>
        </is>
      </c>
      <c r="C505" s="33" t="inlineStr">
        <is>
          <t>temas.finanzas_publicas.deficit_capital_2026_27.valor</t>
        </is>
      </c>
      <c r="D505" s="33" t="inlineStr">
        <is>
          <t>(cifra de informe, copiada a la wiki)</t>
        </is>
      </c>
      <c r="E505" s="33" t="inlineStr">
        <is>
          <t>Déficit de la cuenta de capital (obras como Northern Metropolis).</t>
        </is>
      </c>
      <c r="F505" s="33" t="inlineStr">
        <is>
          <t>Entero</t>
        </is>
      </c>
      <c r="G505" s="33" t="inlineStr">
        <is>
          <t>HK$ millones</t>
        </is>
      </c>
      <c r="H505" s="33" t="inlineStr">
        <is>
          <t>-90100</t>
        </is>
      </c>
      <c r="I505" s="33" t="inlineStr">
        <is>
          <t>No</t>
        </is>
      </c>
      <c r="J505" s="33" t="inlineStr">
        <is>
          <t>valor único (cifra declarada)</t>
        </is>
      </c>
      <c r="K505" s="33" t="inlineStr">
        <is>
          <t>Pública</t>
        </is>
      </c>
      <c r="L505" s="33" t="inlineStr">
        <is>
          <t>Copiada a mano de la wiki del grupo; sello «declarado». Los campos que el lago ya calcula se retiraron (ver conciliacion.json).</t>
        </is>
      </c>
      <c r="M505" s="33" t="inlineStr">
        <is>
          <t>¿Cuánto cuesta la inversión en infraestructura? (Wiki 3.5, 3.6)</t>
        </is>
      </c>
    </row>
    <row r="506" ht="15.75" customHeight="1" s="24">
      <c r="A506" s="33" t="inlineStr">
        <is>
          <t>F08</t>
        </is>
      </c>
      <c r="B506" s="33" t="inlineStr">
        <is>
          <t>public/data/perfil_wiki.json</t>
        </is>
      </c>
      <c r="C506" s="33" t="inlineStr">
        <is>
          <t>temas.finanzas_publicas.superavit_consolidado_2025_26.valor</t>
        </is>
      </c>
      <c r="D506" s="33" t="inlineStr">
        <is>
          <t>(cifra de informe, copiada a la wiki)</t>
        </is>
      </c>
      <c r="E506" s="33" t="inlineStr">
        <is>
          <t>Resultado fiscal consolidado revisado del año 2025-26.</t>
        </is>
      </c>
      <c r="F506" s="33" t="inlineStr">
        <is>
          <t>Entero</t>
        </is>
      </c>
      <c r="G506" s="33" t="inlineStr">
        <is>
          <t>HK$ millones</t>
        </is>
      </c>
      <c r="H506" s="33" t="inlineStr">
        <is>
          <t>2900</t>
        </is>
      </c>
      <c r="I506" s="33" t="inlineStr">
        <is>
          <t>No</t>
        </is>
      </c>
      <c r="J506" s="33" t="inlineStr">
        <is>
          <t>valor único (cifra declarada)</t>
        </is>
      </c>
      <c r="K506" s="33" t="inlineStr">
        <is>
          <t>Pública</t>
        </is>
      </c>
      <c r="L506" s="33" t="inlineStr">
        <is>
          <t>Copiada a mano de la wiki del grupo; sello «declarado». Los campos que el lago ya calcula se retiraron (ver conciliacion.json).</t>
        </is>
      </c>
      <c r="M506" s="33" t="inlineStr">
        <is>
          <t>¿Están sanas las cuentas públicas? (Wiki 3.6)</t>
        </is>
      </c>
    </row>
    <row r="507" ht="15.75" customHeight="1" s="24">
      <c r="A507" s="33" t="inlineStr">
        <is>
          <t>F08</t>
        </is>
      </c>
      <c r="B507" s="33" t="inlineStr">
        <is>
          <t>public/data/perfil_wiki.json</t>
        </is>
      </c>
      <c r="C507" s="33" t="inlineStr">
        <is>
          <t>temas.finanzas_publicas.superavit_consolidado_2026_27.valor</t>
        </is>
      </c>
      <c r="D507" s="33" t="inlineStr">
        <is>
          <t>(cifra de informe, copiada a la wiki)</t>
        </is>
      </c>
      <c r="E507" s="33" t="inlineStr">
        <is>
          <t>Resultado fiscal consolidado estimado para 2026-27 tras emisión de bonos.</t>
        </is>
      </c>
      <c r="F507" s="33" t="inlineStr">
        <is>
          <t>Entero</t>
        </is>
      </c>
      <c r="G507" s="33" t="inlineStr">
        <is>
          <t>HK$ millones</t>
        </is>
      </c>
      <c r="H507" s="33" t="inlineStr">
        <is>
          <t>22100</t>
        </is>
      </c>
      <c r="I507" s="33" t="inlineStr">
        <is>
          <t>No</t>
        </is>
      </c>
      <c r="J507" s="33" t="inlineStr">
        <is>
          <t>valor único (cifra declarada)</t>
        </is>
      </c>
      <c r="K507" s="33" t="inlineStr">
        <is>
          <t>Pública</t>
        </is>
      </c>
      <c r="L507" s="33" t="inlineStr">
        <is>
          <t>Copiada a mano de la wiki del grupo; sello «declarado». Los campos que el lago ya calcula se retiraron (ver conciliacion.json).</t>
        </is>
      </c>
      <c r="M507" s="33" t="inlineStr">
        <is>
          <t>¿El Gobierno cierra el año en positivo? (Wiki 3.6)</t>
        </is>
      </c>
    </row>
    <row r="508" ht="15.75" customHeight="1" s="24">
      <c r="A508" s="33" t="inlineStr">
        <is>
          <t>F08</t>
        </is>
      </c>
      <c r="B508" s="33" t="inlineStr">
        <is>
          <t>public/data/perfil_wiki.json</t>
        </is>
      </c>
      <c r="C508" s="33" t="inlineStr">
        <is>
          <t>temas.finanzas_publicas.reservas_fiscales_mar2026.valor</t>
        </is>
      </c>
      <c r="D508" s="33" t="inlineStr">
        <is>
          <t>(cifra de informe, copiada a la wiki)</t>
        </is>
      </c>
      <c r="E508" s="33" t="inlineStr">
        <is>
          <t>Reservas fiscales al 31 de marzo de 2026.</t>
        </is>
      </c>
      <c r="F508" s="33" t="inlineStr">
        <is>
          <t>Entero</t>
        </is>
      </c>
      <c r="G508" s="33" t="inlineStr">
        <is>
          <t>HK$ millones</t>
        </is>
      </c>
      <c r="H508" s="33" t="inlineStr">
        <is>
          <t>657200</t>
        </is>
      </c>
      <c r="I508" s="33" t="inlineStr">
        <is>
          <t>No</t>
        </is>
      </c>
      <c r="J508" s="33" t="inlineStr">
        <is>
          <t>valor único (cifra declarada)</t>
        </is>
      </c>
      <c r="K508" s="33" t="inlineStr">
        <is>
          <t>Pública</t>
        </is>
      </c>
      <c r="L508" s="33" t="inlineStr">
        <is>
          <t>Copiada a mano de la wiki del grupo; sello «declarado». Los campos que el lago ya calcula se retiraron (ver conciliacion.json).</t>
        </is>
      </c>
      <c r="M508" s="33" t="inlineStr">
        <is>
          <t>¿Qué colchón financiero tiene la ciudad? (Wiki 3.7)</t>
        </is>
      </c>
    </row>
    <row r="509" ht="15.75" customHeight="1" s="24">
      <c r="A509" s="33" t="inlineStr">
        <is>
          <t>F08</t>
        </is>
      </c>
      <c r="B509" s="33" t="inlineStr">
        <is>
          <t>public/data/perfil_wiki.json</t>
        </is>
      </c>
      <c r="C509" s="33" t="inlineStr">
        <is>
          <t>temas.finanzas_publicas.reservas_meses_de_gasto.valor</t>
        </is>
      </c>
      <c r="D509" s="33" t="inlineStr">
        <is>
          <t>(cifra de informe, copiada a la wiki)</t>
        </is>
      </c>
      <c r="E509" s="33" t="inlineStr">
        <is>
          <t>Meses de gasto público que cubrirían las reservas al cierre de 2026-27 (HK$679.300 M).</t>
        </is>
      </c>
      <c r="F509" s="33" t="inlineStr">
        <is>
          <t>Entero</t>
        </is>
      </c>
      <c r="G509" s="33" t="inlineStr">
        <is>
          <t>meses</t>
        </is>
      </c>
      <c r="H509" s="33" t="inlineStr">
        <is>
          <t>10</t>
        </is>
      </c>
      <c r="I509" s="33" t="inlineStr">
        <is>
          <t>No</t>
        </is>
      </c>
      <c r="J509" s="33" t="inlineStr">
        <is>
          <t>valor único (cifra declarada)</t>
        </is>
      </c>
      <c r="K509" s="33" t="inlineStr">
        <is>
          <t>Pública</t>
        </is>
      </c>
      <c r="L509" s="33" t="inlineStr">
        <is>
          <t>Copiada a mano de la wiki del grupo; sello «declarado». Los campos que el lago ya calcula se retiraron (ver conciliacion.json).</t>
        </is>
      </c>
      <c r="M509" s="33" t="inlineStr">
        <is>
          <t>¿Cuánto aguantaría el Gobierno sin ingresos? (Wiki 3.7)</t>
        </is>
      </c>
    </row>
    <row r="510" ht="15.75" customHeight="1" s="24">
      <c r="A510" s="33" t="inlineStr">
        <is>
          <t>F08</t>
        </is>
      </c>
      <c r="B510" s="33" t="inlineStr">
        <is>
          <t>public/data/perfil_wiki.json</t>
        </is>
      </c>
      <c r="C510" s="33" t="inlineStr">
        <is>
          <t>temas.finanzas_publicas.techo_deuda_bonos.valor</t>
        </is>
      </c>
      <c r="D510" s="33" t="inlineStr">
        <is>
          <t>(cifra de informe, copiada a la wiki)</t>
        </is>
      </c>
      <c r="E510" s="33" t="inlineStr">
        <is>
          <t>Límite máximo de endeudamiento por bonos del Gobierno.</t>
        </is>
      </c>
      <c r="F510" s="33" t="inlineStr">
        <is>
          <t>Entero</t>
        </is>
      </c>
      <c r="G510" s="33" t="inlineStr">
        <is>
          <t>HK$ millones</t>
        </is>
      </c>
      <c r="H510" s="33" t="inlineStr">
        <is>
          <t>900000</t>
        </is>
      </c>
      <c r="I510" s="33" t="inlineStr">
        <is>
          <t>No</t>
        </is>
      </c>
      <c r="J510" s="33" t="inlineStr">
        <is>
          <t>valor único (cifra declarada)</t>
        </is>
      </c>
      <c r="K510" s="33" t="inlineStr">
        <is>
          <t>Pública</t>
        </is>
      </c>
      <c r="L510" s="33" t="inlineStr">
        <is>
          <t>Copiada a mano de la wiki del grupo; sello «declarado». Los campos que el lago ya calcula se retiraron (ver conciliacion.json).</t>
        </is>
      </c>
      <c r="M510" s="33" t="inlineStr">
        <is>
          <t>¿Cuánto se puede endeudar el Gobierno? (Wiki 3.8)</t>
        </is>
      </c>
    </row>
    <row r="511" ht="15.75" customHeight="1" s="24">
      <c r="A511" s="33" t="inlineStr">
        <is>
          <t>F08</t>
        </is>
      </c>
      <c r="B511" s="33" t="inlineStr">
        <is>
          <t>public/data/perfil_wiki.json</t>
        </is>
      </c>
      <c r="C511" s="33" t="inlineStr">
        <is>
          <t>temas.finanzas_publicas.emision_bonos_2026_27.valor</t>
        </is>
      </c>
      <c r="D511" s="33" t="inlineStr">
        <is>
          <t>(cifra de informe, copiada a la wiki)</t>
        </is>
      </c>
      <c r="E511" s="33" t="inlineStr">
        <is>
          <t>Bonos que el Gobierno prevé emitir en 2026-27.</t>
        </is>
      </c>
      <c r="F511" s="33" t="inlineStr">
        <is>
          <t>Entero</t>
        </is>
      </c>
      <c r="G511" s="33" t="inlineStr">
        <is>
          <t>HK$ millones</t>
        </is>
      </c>
      <c r="H511" s="33" t="inlineStr">
        <is>
          <t>160000</t>
        </is>
      </c>
      <c r="I511" s="33" t="inlineStr">
        <is>
          <t>No</t>
        </is>
      </c>
      <c r="J511" s="33" t="inlineStr">
        <is>
          <t>valor único (cifra declarada)</t>
        </is>
      </c>
      <c r="K511" s="33" t="inlineStr">
        <is>
          <t>Pública</t>
        </is>
      </c>
      <c r="L511" s="33" t="inlineStr">
        <is>
          <t>Copiada a mano de la wiki del grupo; sello «declarado». Los campos que el lago ya calcula se retiraron (ver conciliacion.json).</t>
        </is>
      </c>
      <c r="M511" s="33" t="inlineStr">
        <is>
          <t>¿Cuánta deuda nueva toma el Gobierno? (Wiki 3.8)</t>
        </is>
      </c>
    </row>
    <row r="512" ht="15.75" customHeight="1" s="24">
      <c r="A512" s="33" t="inlineStr">
        <is>
          <t>F09</t>
        </is>
      </c>
      <c r="B512" s="33" t="inlineStr">
        <is>
          <t>public/data/perfil_wiki.json</t>
        </is>
      </c>
      <c r="C512" s="33" t="inlineStr">
        <is>
          <t>temas.finanzas_publicas.pct_pib_cuatro_industrias_2024.valor</t>
        </is>
      </c>
      <c r="D512" s="33" t="inlineStr">
        <is>
          <t>(cifra de informe, copiada a la wiki)</t>
        </is>
      </c>
      <c r="E512" s="33" t="inlineStr">
        <is>
          <t>Peso en el PIB de finanzas, comercio y logística, servicios profesionales y turismo.</t>
        </is>
      </c>
      <c r="F512" s="33" t="inlineStr">
        <is>
          <t>Decimal</t>
        </is>
      </c>
      <c r="G512" s="33" t="inlineStr">
        <is>
          <t>% del PIB</t>
        </is>
      </c>
      <c r="H512" s="33" t="inlineStr">
        <is>
          <t>58.2</t>
        </is>
      </c>
      <c r="I512" s="33" t="inlineStr">
        <is>
          <t>No</t>
        </is>
      </c>
      <c r="J512" s="33" t="inlineStr">
        <is>
          <t>valor único (cifra declarada)</t>
        </is>
      </c>
      <c r="K512" s="33" t="inlineStr">
        <is>
          <t>Pública</t>
        </is>
      </c>
      <c r="L512" s="33" t="inlineStr">
        <is>
          <t>Copiada a mano de la wiki del grupo; sello «declarado». Los campos que el lago ya calcula se retiraron (ver conciliacion.json).</t>
        </is>
      </c>
      <c r="M512" s="33" t="inlineStr">
        <is>
          <t>¿De qué vive la economía de Hong Kong? (Wiki 3.1)</t>
        </is>
      </c>
    </row>
    <row r="513" ht="15.75" customHeight="1" s="24">
      <c r="A513" s="33" t="inlineStr">
        <is>
          <t>F09</t>
        </is>
      </c>
      <c r="B513" s="33" t="inlineStr">
        <is>
          <t>public/data/perfil_wiki.json</t>
        </is>
      </c>
      <c r="C513" s="33" t="inlineStr">
        <is>
          <t>temas.finanzas_publicas.pct_empleo_cuatro_industrias_2024.valor</t>
        </is>
      </c>
      <c r="D513" s="33" t="inlineStr">
        <is>
          <t>(cifra de informe, copiada a la wiki)</t>
        </is>
      </c>
      <c r="E513" s="33" t="inlineStr">
        <is>
          <t>Peso en el empleo total de las cuatro industrias clave.</t>
        </is>
      </c>
      <c r="F513" s="33" t="inlineStr">
        <is>
          <t>Decimal</t>
        </is>
      </c>
      <c r="G513" s="33" t="inlineStr">
        <is>
          <t>% del empleo</t>
        </is>
      </c>
      <c r="H513" s="33" t="inlineStr">
        <is>
          <t>42.3</t>
        </is>
      </c>
      <c r="I513" s="33" t="inlineStr">
        <is>
          <t>No</t>
        </is>
      </c>
      <c r="J513" s="33" t="inlineStr">
        <is>
          <t>valor único (cifra declarada)</t>
        </is>
      </c>
      <c r="K513" s="33" t="inlineStr">
        <is>
          <t>Pública</t>
        </is>
      </c>
      <c r="L513" s="33" t="inlineStr">
        <is>
          <t>Copiada a mano de la wiki del grupo; sello «declarado». Los campos que el lago ya calcula se retiraron (ver conciliacion.json).</t>
        </is>
      </c>
      <c r="M513" s="33" t="inlineStr">
        <is>
          <t>¿Cuánto empleo generan los sectores clave? (Wiki 3.1)</t>
        </is>
      </c>
    </row>
    <row r="514" ht="15.75" customHeight="1" s="24">
      <c r="A514" s="33" t="inlineStr">
        <is>
          <t>F10</t>
        </is>
      </c>
      <c r="B514" s="33" t="inlineStr">
        <is>
          <t>public/data/perfil_wiki.json</t>
        </is>
      </c>
      <c r="C514" s="33" t="inlineStr">
        <is>
          <t>temas.seguridad.delitos_totales_2025.valor</t>
        </is>
      </c>
      <c r="D514" s="33" t="inlineStr">
        <is>
          <t>(cifra de informe, copiada a la wiki)</t>
        </is>
      </c>
      <c r="E514" s="33" t="inlineStr">
        <is>
          <t>Delitos totales registrados en 2025.</t>
        </is>
      </c>
      <c r="F514" s="33" t="inlineStr">
        <is>
          <t>Entero</t>
        </is>
      </c>
      <c r="G514" s="33" t="inlineStr">
        <is>
          <t>casos</t>
        </is>
      </c>
      <c r="H514" s="33" t="inlineStr">
        <is>
          <t>89137</t>
        </is>
      </c>
      <c r="I514" s="33" t="inlineStr">
        <is>
          <t>No</t>
        </is>
      </c>
      <c r="J514" s="33" t="inlineStr">
        <is>
          <t>valor único (cifra declarada)</t>
        </is>
      </c>
      <c r="K514" s="33" t="inlineStr">
        <is>
          <t>Pública</t>
        </is>
      </c>
      <c r="L514" s="33" t="inlineStr">
        <is>
          <t>Copiada a mano de la wiki del grupo; sello «declarado». Los campos que el lago ya calcula se retiraron (ver conciliacion.json).</t>
        </is>
      </c>
      <c r="M514" s="33" t="inlineStr">
        <is>
          <t>¿Qué tan segura es la ciudad? (Wiki 4.1)</t>
        </is>
      </c>
    </row>
    <row r="515" ht="15.75" customHeight="1" s="24">
      <c r="A515" s="33" t="inlineStr">
        <is>
          <t>F10</t>
        </is>
      </c>
      <c r="B515" s="33" t="inlineStr">
        <is>
          <t>public/data/perfil_wiki.json</t>
        </is>
      </c>
      <c r="C515" s="33" t="inlineStr">
        <is>
          <t>temas.seguridad.var_delitos_totales_2025_pct.valor</t>
        </is>
      </c>
      <c r="D515" s="33" t="inlineStr">
        <is>
          <t>(cifra de informe, copiada a la wiki)</t>
        </is>
      </c>
      <c r="E515" s="33" t="inlineStr">
        <is>
          <t>Variación de los delitos totales frente a 2024.</t>
        </is>
      </c>
      <c r="F515" s="33" t="inlineStr">
        <is>
          <t>Decimal</t>
        </is>
      </c>
      <c r="G515" s="33" t="inlineStr">
        <is>
          <t>%</t>
        </is>
      </c>
      <c r="H515" s="33" t="inlineStr">
        <is>
          <t>-5.9</t>
        </is>
      </c>
      <c r="I515" s="33" t="inlineStr">
        <is>
          <t>No</t>
        </is>
      </c>
      <c r="J515" s="33" t="inlineStr">
        <is>
          <t>valor único (cifra declarada)</t>
        </is>
      </c>
      <c r="K515" s="33" t="inlineStr">
        <is>
          <t>Pública</t>
        </is>
      </c>
      <c r="L515" s="33" t="inlineStr">
        <is>
          <t>Copiada a mano de la wiki del grupo; sello «declarado». Los campos que el lago ya calcula se retiraron (ver conciliacion.json).</t>
        </is>
      </c>
      <c r="M515" s="33" t="inlineStr">
        <is>
          <t>¿La criminalidad sube o baja? (Wiki 4.1)</t>
        </is>
      </c>
    </row>
    <row r="516" ht="15.75" customHeight="1" s="24">
      <c r="A516" s="33" t="inlineStr">
        <is>
          <t>F10</t>
        </is>
      </c>
      <c r="B516" s="33" t="inlineStr">
        <is>
          <t>public/data/perfil_wiki.json</t>
        </is>
      </c>
      <c r="C516" s="33" t="inlineStr">
        <is>
          <t>temas.seguridad.delitos_violentos_2025.valor</t>
        </is>
      </c>
      <c r="D516" s="33" t="inlineStr">
        <is>
          <t>(cifra de informe, copiada a la wiki)</t>
        </is>
      </c>
      <c r="E516" s="33" t="inlineStr">
        <is>
          <t>Delitos violentos registrados en 2025.</t>
        </is>
      </c>
      <c r="F516" s="33" t="inlineStr">
        <is>
          <t>Entero</t>
        </is>
      </c>
      <c r="G516" s="33" t="inlineStr">
        <is>
          <t>casos</t>
        </is>
      </c>
      <c r="H516" s="33" t="inlineStr">
        <is>
          <t>8823</t>
        </is>
      </c>
      <c r="I516" s="33" t="inlineStr">
        <is>
          <t>No</t>
        </is>
      </c>
      <c r="J516" s="33" t="inlineStr">
        <is>
          <t>valor único (cifra declarada)</t>
        </is>
      </c>
      <c r="K516" s="33" t="inlineStr">
        <is>
          <t>Pública</t>
        </is>
      </c>
      <c r="L516" s="33" t="inlineStr">
        <is>
          <t>Copiada a mano de la wiki del grupo; sello «declarado». Los campos que el lago ya calcula se retiraron (ver conciliacion.json).</t>
        </is>
      </c>
      <c r="M516" s="33" t="inlineStr">
        <is>
          <t>¿Cuánto delito violento hay? (Wiki 4.2)</t>
        </is>
      </c>
    </row>
    <row r="517" ht="15.75" customHeight="1" s="24">
      <c r="A517" s="33" t="inlineStr">
        <is>
          <t>F10</t>
        </is>
      </c>
      <c r="B517" s="33" t="inlineStr">
        <is>
          <t>public/data/perfil_wiki.json</t>
        </is>
      </c>
      <c r="C517" s="33" t="inlineStr">
        <is>
          <t>temas.seguridad.var_delitos_violentos_2025_pct.valor</t>
        </is>
      </c>
      <c r="D517" s="33" t="inlineStr">
        <is>
          <t>(cifra de informe, copiada a la wiki)</t>
        </is>
      </c>
      <c r="E517" s="33" t="inlineStr">
        <is>
          <t>Variación de los delitos violentos frente a 2024.</t>
        </is>
      </c>
      <c r="F517" s="33" t="inlineStr">
        <is>
          <t>Decimal</t>
        </is>
      </c>
      <c r="G517" s="33" t="inlineStr">
        <is>
          <t>%</t>
        </is>
      </c>
      <c r="H517" s="33" t="inlineStr">
        <is>
          <t>-15.9</t>
        </is>
      </c>
      <c r="I517" s="33" t="inlineStr">
        <is>
          <t>No</t>
        </is>
      </c>
      <c r="J517" s="33" t="inlineStr">
        <is>
          <t>valor único (cifra declarada)</t>
        </is>
      </c>
      <c r="K517" s="33" t="inlineStr">
        <is>
          <t>Pública</t>
        </is>
      </c>
      <c r="L517" s="33" t="inlineStr">
        <is>
          <t>Copiada a mano de la wiki del grupo; sello «declarado». Los campos que el lago ya calcula se retiraron (ver conciliacion.json).</t>
        </is>
      </c>
      <c r="M517" s="33" t="inlineStr">
        <is>
          <t>¿El delito violento está bajando? (Wiki 4.2)</t>
        </is>
      </c>
    </row>
    <row r="518" ht="15.75" customHeight="1" s="24">
      <c r="A518" s="33" t="inlineStr">
        <is>
          <t>F10</t>
        </is>
      </c>
      <c r="B518" s="33" t="inlineStr">
        <is>
          <t>public/data/perfil_wiki.json</t>
        </is>
      </c>
      <c r="C518" s="33" t="inlineStr">
        <is>
          <t>temas.seguridad.var_robo_con_violencia_2025_pct.valor</t>
        </is>
      </c>
      <c r="D518" s="33" t="inlineStr">
        <is>
          <t>(cifra de informe, copiada a la wiki)</t>
        </is>
      </c>
      <c r="E518" s="33" t="inlineStr">
        <is>
          <t>Variación del robo con violencia frente a 2024.</t>
        </is>
      </c>
      <c r="F518" s="33" t="inlineStr">
        <is>
          <t>Decimal</t>
        </is>
      </c>
      <c r="G518" s="33" t="inlineStr">
        <is>
          <t>%</t>
        </is>
      </c>
      <c r="H518" s="33" t="inlineStr">
        <is>
          <t>-26.7</t>
        </is>
      </c>
      <c r="I518" s="33" t="inlineStr">
        <is>
          <t>No</t>
        </is>
      </c>
      <c r="J518" s="33" t="inlineStr">
        <is>
          <t>valor único (cifra declarada)</t>
        </is>
      </c>
      <c r="K518" s="33" t="inlineStr">
        <is>
          <t>Pública</t>
        </is>
      </c>
      <c r="L518" s="33" t="inlineStr">
        <is>
          <t>Copiada a mano de la wiki del grupo; sello «declarado». Los campos que el lago ya calcula se retiraron (ver conciliacion.json).</t>
        </is>
      </c>
      <c r="M518" s="33" t="inlineStr">
        <is>
          <t>¿Qué delitos callejeros están en mínimos? (Wiki 4.2)</t>
        </is>
      </c>
    </row>
    <row r="519" ht="15.75" customHeight="1" s="24">
      <c r="A519" s="33" t="inlineStr">
        <is>
          <t>F10</t>
        </is>
      </c>
      <c r="B519" s="33" t="inlineStr">
        <is>
          <t>public/data/perfil_wiki.json</t>
        </is>
      </c>
      <c r="C519" s="33" t="inlineStr">
        <is>
          <t>temas.seguridad.var_hurto_con_allanamiento_2025_pct.valor</t>
        </is>
      </c>
      <c r="D519" s="33" t="inlineStr">
        <is>
          <t>(cifra de informe, copiada a la wiki)</t>
        </is>
      </c>
      <c r="E519" s="33" t="inlineStr">
        <is>
          <t>Variación del hurto con allanamiento frente a 2024.</t>
        </is>
      </c>
      <c r="F519" s="33" t="inlineStr">
        <is>
          <t>Decimal</t>
        </is>
      </c>
      <c r="G519" s="33" t="inlineStr">
        <is>
          <t>%</t>
        </is>
      </c>
      <c r="H519" s="33" t="inlineStr">
        <is>
          <t>-33.1</t>
        </is>
      </c>
      <c r="I519" s="33" t="inlineStr">
        <is>
          <t>No</t>
        </is>
      </c>
      <c r="J519" s="33" t="inlineStr">
        <is>
          <t>valor único (cifra declarada)</t>
        </is>
      </c>
      <c r="K519" s="33" t="inlineStr">
        <is>
          <t>Pública</t>
        </is>
      </c>
      <c r="L519" s="33" t="inlineStr">
        <is>
          <t>Copiada a mano de la wiki del grupo; sello «declarado». Los campos que el lago ya calcula se retiraron (ver conciliacion.json).</t>
        </is>
      </c>
      <c r="M519" s="33" t="inlineStr">
        <is>
          <t>¿Qué delitos contra la propiedad están en mínimos? (Wiki 4.2)</t>
        </is>
      </c>
    </row>
    <row r="520" ht="15.75" customHeight="1" s="24">
      <c r="A520" s="33" t="inlineStr">
        <is>
          <t>F10</t>
        </is>
      </c>
      <c r="B520" s="33" t="inlineStr">
        <is>
          <t>public/data/perfil_wiki.json</t>
        </is>
      </c>
      <c r="C520" s="33" t="inlineStr">
        <is>
          <t>temas.seguridad.casos_fraude_2025.valor</t>
        </is>
      </c>
      <c r="D520" s="33" t="inlineStr">
        <is>
          <t>(cifra de informe, copiada a la wiki)</t>
        </is>
      </c>
      <c r="E520" s="33" t="inlineStr">
        <is>
          <t>Casos de fraude y estafa registrados en 2025.</t>
        </is>
      </c>
      <c r="F520" s="33" t="inlineStr">
        <is>
          <t>Entero</t>
        </is>
      </c>
      <c r="G520" s="33" t="inlineStr">
        <is>
          <t>casos</t>
        </is>
      </c>
      <c r="H520" s="33" t="inlineStr">
        <is>
          <t>43212</t>
        </is>
      </c>
      <c r="I520" s="33" t="inlineStr">
        <is>
          <t>No</t>
        </is>
      </c>
      <c r="J520" s="33" t="inlineStr">
        <is>
          <t>valor único (cifra declarada)</t>
        </is>
      </c>
      <c r="K520" s="33" t="inlineStr">
        <is>
          <t>Pública</t>
        </is>
      </c>
      <c r="L520" s="33" t="inlineStr">
        <is>
          <t>Copiada a mano de la wiki del grupo; sello «declarado». Los campos que el lago ya calcula se retiraron (ver conciliacion.json).</t>
        </is>
      </c>
      <c r="M520" s="33" t="inlineStr">
        <is>
          <t>¿Qué tan grave es el problema de las estafas? (Wiki 4.4)</t>
        </is>
      </c>
    </row>
    <row r="521" ht="15.75" customHeight="1" s="24">
      <c r="A521" s="33" t="inlineStr">
        <is>
          <t>F10</t>
        </is>
      </c>
      <c r="B521" s="33" t="inlineStr">
        <is>
          <t>public/data/perfil_wiki.json</t>
        </is>
      </c>
      <c r="C521" s="33" t="inlineStr">
        <is>
          <t>temas.seguridad.pct_fraude_sobre_delitos_2025.valor</t>
        </is>
      </c>
      <c r="D521" s="33" t="inlineStr">
        <is>
          <t>(cifra de informe, copiada a la wiki)</t>
        </is>
      </c>
      <c r="E521" s="33" t="inlineStr">
        <is>
          <t>Porcentaje de los delitos que son fraude o estafa.</t>
        </is>
      </c>
      <c r="F521" s="33" t="inlineStr">
        <is>
          <t>Decimal</t>
        </is>
      </c>
      <c r="G521" s="33" t="inlineStr">
        <is>
          <t>%</t>
        </is>
      </c>
      <c r="H521" s="33" t="inlineStr">
        <is>
          <t>48.5</t>
        </is>
      </c>
      <c r="I521" s="33" t="inlineStr">
        <is>
          <t>No</t>
        </is>
      </c>
      <c r="J521" s="33" t="inlineStr">
        <is>
          <t>valor único (cifra declarada)</t>
        </is>
      </c>
      <c r="K521" s="33" t="inlineStr">
        <is>
          <t>Pública</t>
        </is>
      </c>
      <c r="L521" s="33" t="inlineStr">
        <is>
          <t>Copiada a mano de la wiki del grupo; sello «declarado». Los campos que el lago ya calcula se retiraron (ver conciliacion.json).</t>
        </is>
      </c>
      <c r="M521" s="33" t="inlineStr">
        <is>
          <t>¿Está cambiando el tipo de delito en la ciudad? (Wiki 4.1, 4.4)</t>
        </is>
      </c>
    </row>
    <row r="522" ht="15.75" customHeight="1" s="24">
      <c r="A522" s="33" t="inlineStr">
        <is>
          <t>F10</t>
        </is>
      </c>
      <c r="B522" s="33" t="inlineStr">
        <is>
          <t>public/data/perfil_wiki.json</t>
        </is>
      </c>
      <c r="C522" s="33" t="inlineStr">
        <is>
          <t>temas.seguridad.perdidas_fraude_2025.valor</t>
        </is>
      </c>
      <c r="D522" s="33" t="inlineStr">
        <is>
          <t>(cifra de informe, copiada a la wiki)</t>
        </is>
      </c>
      <c r="E522" s="33" t="inlineStr">
        <is>
          <t>Pérdidas económicas por fraude en 2025.</t>
        </is>
      </c>
      <c r="F522" s="33" t="inlineStr">
        <is>
          <t>Entero</t>
        </is>
      </c>
      <c r="G522" s="33" t="inlineStr">
        <is>
          <t>HK$ millones</t>
        </is>
      </c>
      <c r="H522" s="33" t="inlineStr">
        <is>
          <t>8100</t>
        </is>
      </c>
      <c r="I522" s="33" t="inlineStr">
        <is>
          <t>No</t>
        </is>
      </c>
      <c r="J522" s="33" t="inlineStr">
        <is>
          <t>valor único (cifra declarada)</t>
        </is>
      </c>
      <c r="K522" s="33" t="inlineStr">
        <is>
          <t>Pública</t>
        </is>
      </c>
      <c r="L522" s="33" t="inlineStr">
        <is>
          <t>Copiada a mano de la wiki del grupo; sello «declarado». Los campos que el lago ya calcula se retiraron (ver conciliacion.json).</t>
        </is>
      </c>
      <c r="M522" s="33" t="inlineStr">
        <is>
          <t>¿Cuánto dinero se pierde por estafas? (Wiki 4.4)</t>
        </is>
      </c>
    </row>
    <row r="523" ht="15.75" customHeight="1" s="24">
      <c r="A523" s="33" t="inlineStr">
        <is>
          <t>F10</t>
        </is>
      </c>
      <c r="B523" s="33" t="inlineStr">
        <is>
          <t>public/data/perfil_wiki.json</t>
        </is>
      </c>
      <c r="C523" s="33" t="inlineStr">
        <is>
          <t>temas.seguridad.var_perdidas_fraude_2025_pct.valor</t>
        </is>
      </c>
      <c r="D523" s="33" t="inlineStr">
        <is>
          <t>(cifra de informe, copiada a la wiki)</t>
        </is>
      </c>
      <c r="E523" s="33" t="inlineStr">
        <is>
          <t>Variación de las pérdidas por fraude frente a 2024.</t>
        </is>
      </c>
      <c r="F523" s="33" t="inlineStr">
        <is>
          <t>Decimal</t>
        </is>
      </c>
      <c r="G523" s="33" t="inlineStr">
        <is>
          <t>%</t>
        </is>
      </c>
      <c r="H523" s="33" t="inlineStr">
        <is>
          <t>-11.3</t>
        </is>
      </c>
      <c r="I523" s="33" t="inlineStr">
        <is>
          <t>No</t>
        </is>
      </c>
      <c r="J523" s="33" t="inlineStr">
        <is>
          <t>valor único (cifra declarada)</t>
        </is>
      </c>
      <c r="K523" s="33" t="inlineStr">
        <is>
          <t>Pública</t>
        </is>
      </c>
      <c r="L523" s="33" t="inlineStr">
        <is>
          <t>Copiada a mano de la wiki del grupo; sello «declarado». Los campos que el lago ya calcula se retiraron (ver conciliacion.json).</t>
        </is>
      </c>
      <c r="M523" s="33" t="inlineStr">
        <is>
          <t>¿Las estafas están costando menos? (Wiki 4.4)</t>
        </is>
      </c>
    </row>
    <row r="524" ht="15.75" customHeight="1" s="24">
      <c r="A524" s="33" t="inlineStr">
        <is>
          <t>F10</t>
        </is>
      </c>
      <c r="B524" s="33" t="inlineStr">
        <is>
          <t>public/data/perfil_wiki.json</t>
        </is>
      </c>
      <c r="C524" s="33" t="inlineStr">
        <is>
          <t>temas.seguridad.casos_fraude_compras_online_2025.valor</t>
        </is>
      </c>
      <c r="D524" s="33" t="inlineStr">
        <is>
          <t>(cifra de informe, copiada a la wiki)</t>
        </is>
      </c>
      <c r="E524" s="33" t="inlineStr">
        <is>
          <t>Casos de fraude en compras por internet (el tipo más común).</t>
        </is>
      </c>
      <c r="F524" s="33" t="inlineStr">
        <is>
          <t>Entero</t>
        </is>
      </c>
      <c r="G524" s="33" t="inlineStr">
        <is>
          <t>casos</t>
        </is>
      </c>
      <c r="H524" s="33" t="inlineStr">
        <is>
          <t>12505</t>
        </is>
      </c>
      <c r="I524" s="33" t="inlineStr">
        <is>
          <t>No</t>
        </is>
      </c>
      <c r="J524" s="33" t="inlineStr">
        <is>
          <t>valor único (cifra declarada)</t>
        </is>
      </c>
      <c r="K524" s="33" t="inlineStr">
        <is>
          <t>Pública</t>
        </is>
      </c>
      <c r="L524" s="33" t="inlineStr">
        <is>
          <t>Copiada a mano de la wiki del grupo; sello «declarado». Los campos que el lago ya calcula se retiraron (ver conciliacion.json).</t>
        </is>
      </c>
      <c r="M524" s="33" t="inlineStr">
        <is>
          <t>¿Cuál es la estafa más frecuente? (Wiki 4.4)</t>
        </is>
      </c>
    </row>
    <row r="525" ht="15.75" customHeight="1" s="24">
      <c r="A525" s="33" t="inlineStr">
        <is>
          <t>F10</t>
        </is>
      </c>
      <c r="B525" s="33" t="inlineStr">
        <is>
          <t>public/data/perfil_wiki.json</t>
        </is>
      </c>
      <c r="C525" s="33" t="inlineStr">
        <is>
          <t>temas.seguridad.delitos_triadas_2025.valor</t>
        </is>
      </c>
      <c r="D525" s="33" t="inlineStr">
        <is>
          <t>(cifra de informe, copiada a la wiki)</t>
        </is>
      </c>
      <c r="E525" s="33" t="inlineStr">
        <is>
          <t>Delitos relacionados con tríadas en 2025.</t>
        </is>
      </c>
      <c r="F525" s="33" t="inlineStr">
        <is>
          <t>Entero</t>
        </is>
      </c>
      <c r="G525" s="33" t="inlineStr">
        <is>
          <t>casos</t>
        </is>
      </c>
      <c r="H525" s="33" t="inlineStr">
        <is>
          <t>1944</t>
        </is>
      </c>
      <c r="I525" s="33" t="inlineStr">
        <is>
          <t>No</t>
        </is>
      </c>
      <c r="J525" s="33" t="inlineStr">
        <is>
          <t>valor único (cifra declarada)</t>
        </is>
      </c>
      <c r="K525" s="33" t="inlineStr">
        <is>
          <t>Pública</t>
        </is>
      </c>
      <c r="L525" s="33" t="inlineStr">
        <is>
          <t>Copiada a mano de la wiki del grupo; sello «declarado». Los campos que el lago ya calcula se retiraron (ver conciliacion.json).</t>
        </is>
      </c>
      <c r="M525" s="33" t="inlineStr">
        <is>
          <t>¿Cómo evoluciona el crimen organizado? (Wiki 4.5)</t>
        </is>
      </c>
    </row>
    <row r="526" ht="15.75" customHeight="1" s="24">
      <c r="A526" s="33" t="inlineStr">
        <is>
          <t>F10</t>
        </is>
      </c>
      <c r="B526" s="33" t="inlineStr">
        <is>
          <t>public/data/perfil_wiki.json</t>
        </is>
      </c>
      <c r="C526" s="33" t="inlineStr">
        <is>
          <t>temas.seguridad.var_delitos_triadas_2025_pct.valor</t>
        </is>
      </c>
      <c r="D526" s="33" t="inlineStr">
        <is>
          <t>(cifra de informe, copiada a la wiki)</t>
        </is>
      </c>
      <c r="E526" s="33" t="inlineStr">
        <is>
          <t>Variación de los delitos de tríadas frente a 2024.</t>
        </is>
      </c>
      <c r="F526" s="33" t="inlineStr">
        <is>
          <t>Decimal</t>
        </is>
      </c>
      <c r="G526" s="33" t="inlineStr">
        <is>
          <t>%</t>
        </is>
      </c>
      <c r="H526" s="33" t="inlineStr">
        <is>
          <t>-16.4</t>
        </is>
      </c>
      <c r="I526" s="33" t="inlineStr">
        <is>
          <t>No</t>
        </is>
      </c>
      <c r="J526" s="33" t="inlineStr">
        <is>
          <t>valor único (cifra declarada)</t>
        </is>
      </c>
      <c r="K526" s="33" t="inlineStr">
        <is>
          <t>Pública</t>
        </is>
      </c>
      <c r="L526" s="33" t="inlineStr">
        <is>
          <t>Copiada a mano de la wiki del grupo; sello «declarado». Los campos que el lago ya calcula se retiraron (ver conciliacion.json).</t>
        </is>
      </c>
      <c r="M526" s="33" t="inlineStr">
        <is>
          <t>¿El crimen organizado está bajando? (Wiki 4.5)</t>
        </is>
      </c>
    </row>
    <row r="527" ht="15.75" customHeight="1" s="24">
      <c r="A527" s="33" t="inlineStr">
        <is>
          <t>F10</t>
        </is>
      </c>
      <c r="B527" s="33" t="inlineStr">
        <is>
          <t>public/data/perfil_wiki.json</t>
        </is>
      </c>
      <c r="C527" s="33" t="inlineStr">
        <is>
          <t>temas.seguridad.tasa_homicidios_habitual_100k.valor</t>
        </is>
      </c>
      <c r="D527" s="33" t="inlineStr">
        <is>
          <t>(cifra de informe, copiada a la wiki)</t>
        </is>
      </c>
      <c r="E527" s="33" t="inlineStr">
        <is>
          <t>Tasa habitual de homicidios por cada 100.000 habitantes (sin eventos únicos).</t>
        </is>
      </c>
      <c r="F527" s="33" t="inlineStr">
        <is>
          <t>Decimal</t>
        </is>
      </c>
      <c r="G527" s="33" t="inlineStr">
        <is>
          <t>por 100.000 hab.</t>
        </is>
      </c>
      <c r="H527" s="33" t="inlineStr">
        <is>
          <t>0.4</t>
        </is>
      </c>
      <c r="I527" s="33" t="inlineStr">
        <is>
          <t>No</t>
        </is>
      </c>
      <c r="J527" s="33" t="inlineStr">
        <is>
          <t>valor único (cifra declarada)</t>
        </is>
      </c>
      <c r="K527" s="33" t="inlineStr">
        <is>
          <t>Pública</t>
        </is>
      </c>
      <c r="L527" s="33" t="inlineStr">
        <is>
          <t>Copiada a mano de la wiki del grupo; sello «declarado». Los campos que el lago ya calcula se retiraron (ver conciliacion.json).</t>
        </is>
      </c>
      <c r="M527" s="33" t="inlineStr">
        <is>
          <t>¿Qué tan común es el homicidio? (Wiki 4.3)</t>
        </is>
      </c>
    </row>
    <row r="528" ht="15.75" customHeight="1" s="24">
      <c r="A528" s="33" t="inlineStr">
        <is>
          <t>F11</t>
        </is>
      </c>
      <c r="B528" s="33" t="inlineStr">
        <is>
          <t>public/data/perfil_wiki.json</t>
        </is>
      </c>
      <c r="C528" s="33" t="inlineStr">
        <is>
          <t>temas.seguridad.posicion_cpi_2025.valor</t>
        </is>
      </c>
      <c r="D528" s="33" t="inlineStr">
        <is>
          <t>(cifra de informe, copiada a la wiki)</t>
        </is>
      </c>
      <c r="E528" s="33" t="inlineStr">
        <is>
          <t>Puesto de Hong Kong en el Índice de Percepción de la Corrupción 2025.</t>
        </is>
      </c>
      <c r="F528" s="33" t="inlineStr">
        <is>
          <t>Entero</t>
        </is>
      </c>
      <c r="G528" s="33" t="inlineStr">
        <is>
          <t>puesto</t>
        </is>
      </c>
      <c r="H528" s="33" t="inlineStr">
        <is>
          <t>12</t>
        </is>
      </c>
      <c r="I528" s="33" t="inlineStr">
        <is>
          <t>No</t>
        </is>
      </c>
      <c r="J528" s="33" t="inlineStr">
        <is>
          <t>valor único (cifra declarada)</t>
        </is>
      </c>
      <c r="K528" s="33" t="inlineStr">
        <is>
          <t>Pública</t>
        </is>
      </c>
      <c r="L528" s="33" t="inlineStr">
        <is>
          <t>Copiada a mano de la wiki del grupo; sello «declarado». Los campos que el lago ya calcula se retiraron (ver conciliacion.json).</t>
        </is>
      </c>
      <c r="M528" s="33" t="inlineStr">
        <is>
          <t>¿Qué tan corrupta se percibe la ciudad? (Wiki 4.6)</t>
        </is>
      </c>
    </row>
    <row r="529" ht="15.75" customHeight="1" s="24">
      <c r="A529" s="33" t="inlineStr">
        <is>
          <t>F11</t>
        </is>
      </c>
      <c r="B529" s="33" t="inlineStr">
        <is>
          <t>public/data/perfil_wiki.json</t>
        </is>
      </c>
      <c r="C529" s="33" t="inlineStr">
        <is>
          <t>temas.seguridad.puntaje_cpi_2025.valor</t>
        </is>
      </c>
      <c r="D529" s="33" t="inlineStr">
        <is>
          <t>(cifra de informe, copiada a la wiki)</t>
        </is>
      </c>
      <c r="E529" s="33" t="inlineStr">
        <is>
          <t>Puntaje de Hong Kong en el Índice de Percepción de la Corrupción 2025.</t>
        </is>
      </c>
      <c r="F529" s="33" t="inlineStr">
        <is>
          <t>Entero</t>
        </is>
      </c>
      <c r="G529" s="33" t="inlineStr">
        <is>
          <t>puntos (0–100)</t>
        </is>
      </c>
      <c r="H529" s="33" t="inlineStr">
        <is>
          <t>76</t>
        </is>
      </c>
      <c r="I529" s="33" t="inlineStr">
        <is>
          <t>No</t>
        </is>
      </c>
      <c r="J529" s="33" t="inlineStr">
        <is>
          <t>valor único (cifra declarada)</t>
        </is>
      </c>
      <c r="K529" s="33" t="inlineStr">
        <is>
          <t>Pública</t>
        </is>
      </c>
      <c r="L529" s="33" t="inlineStr">
        <is>
          <t>Copiada a mano de la wiki del grupo; sello «declarado». Los campos que el lago ya calcula se retiraron (ver conciliacion.json).</t>
        </is>
      </c>
      <c r="M529" s="33" t="inlineStr">
        <is>
          <t>¿Cómo se compara la corrupción con otras ciudades? (Wiki 4.6)</t>
        </is>
      </c>
    </row>
    <row r="530" ht="15.75" customHeight="1" s="24">
      <c r="A530" s="33" t="inlineStr">
        <is>
          <t>F11</t>
        </is>
      </c>
      <c r="B530" s="33" t="inlineStr">
        <is>
          <t>public/data/perfil_wiki.json</t>
        </is>
      </c>
      <c r="C530" s="33" t="inlineStr">
        <is>
          <t>temas.seguridad.posicion_cpi_2024.valor</t>
        </is>
      </c>
      <c r="D530" s="33" t="inlineStr">
        <is>
          <t>(cifra de informe, copiada a la wiki)</t>
        </is>
      </c>
      <c r="E530" s="33" t="inlineStr">
        <is>
          <t>Puesto de Hong Kong en el Índice de Percepción de la Corrupción 2024.</t>
        </is>
      </c>
      <c r="F530" s="33" t="inlineStr">
        <is>
          <t>Entero</t>
        </is>
      </c>
      <c r="G530" s="33" t="inlineStr">
        <is>
          <t>puesto</t>
        </is>
      </c>
      <c r="H530" s="33" t="inlineStr">
        <is>
          <t>17</t>
        </is>
      </c>
      <c r="I530" s="33" t="inlineStr">
        <is>
          <t>No</t>
        </is>
      </c>
      <c r="J530" s="33" t="inlineStr">
        <is>
          <t>valor único (cifra declarada)</t>
        </is>
      </c>
      <c r="K530" s="33" t="inlineStr">
        <is>
          <t>Pública</t>
        </is>
      </c>
      <c r="L530" s="33" t="inlineStr">
        <is>
          <t>Copiada a mano de la wiki del grupo; sello «declarado». Los campos que el lago ya calcula se retiraron (ver conciliacion.json).</t>
        </is>
      </c>
      <c r="M530" s="33" t="inlineStr">
        <is>
          <t>¿Mejoró la percepción de corrupción? (Wiki 4.6)</t>
        </is>
      </c>
    </row>
    <row r="531" ht="15.75" customHeight="1" s="24">
      <c r="A531" s="33" t="inlineStr">
        <is>
          <t>F12</t>
        </is>
      </c>
      <c r="B531" s="33" t="inlineStr">
        <is>
          <t>public/data/perfil_wiki.json</t>
        </is>
      </c>
      <c r="C531" s="33" t="inlineStr">
        <is>
          <t>temas.turismo.llegadas_visitantes_2025.valor</t>
        </is>
      </c>
      <c r="D531" s="33" t="inlineStr">
        <is>
          <t>(cifra de informe, copiada a la wiki)</t>
        </is>
      </c>
      <c r="E531" s="33" t="inlineStr">
        <is>
          <t>Visitantes que llegaron a Hong Kong en 2025.</t>
        </is>
      </c>
      <c r="F531" s="33" t="inlineStr">
        <is>
          <t>Entero</t>
        </is>
      </c>
      <c r="G531" s="33" t="inlineStr">
        <is>
          <t>visitantes</t>
        </is>
      </c>
      <c r="H531" s="33" t="inlineStr">
        <is>
          <t>49900000</t>
        </is>
      </c>
      <c r="I531" s="33" t="inlineStr">
        <is>
          <t>No</t>
        </is>
      </c>
      <c r="J531" s="33" t="inlineStr">
        <is>
          <t>valor único (cifra declarada)</t>
        </is>
      </c>
      <c r="K531" s="33" t="inlineStr">
        <is>
          <t>Pública</t>
        </is>
      </c>
      <c r="L531" s="33" t="inlineStr">
        <is>
          <t>Copiada a mano de la wiki del grupo; sello «declarado». Los campos que el lago ya calcula se retiraron (ver conciliacion.json).</t>
        </is>
      </c>
      <c r="M531" s="33" t="inlineStr">
        <is>
          <t>¿Cuántos turistas recibe la ciudad? (Wiki 5.2)</t>
        </is>
      </c>
    </row>
    <row r="532" ht="15.75" customHeight="1" s="24">
      <c r="A532" s="33" t="inlineStr">
        <is>
          <t>F12</t>
        </is>
      </c>
      <c r="B532" s="33" t="inlineStr">
        <is>
          <t>public/data/perfil_wiki.json</t>
        </is>
      </c>
      <c r="C532" s="33" t="inlineStr">
        <is>
          <t>temas.turismo.var_llegadas_2025_pct.valor</t>
        </is>
      </c>
      <c r="D532" s="33" t="inlineStr">
        <is>
          <t>(cifra de informe, copiada a la wiki)</t>
        </is>
      </c>
      <c r="E532" s="33" t="inlineStr">
        <is>
          <t>Variación de las llegadas frente a 2024.</t>
        </is>
      </c>
      <c r="F532" s="33" t="inlineStr">
        <is>
          <t>Entero</t>
        </is>
      </c>
      <c r="G532" s="33" t="inlineStr">
        <is>
          <t>%</t>
        </is>
      </c>
      <c r="H532" s="33" t="inlineStr">
        <is>
          <t>12</t>
        </is>
      </c>
      <c r="I532" s="33" t="inlineStr">
        <is>
          <t>No</t>
        </is>
      </c>
      <c r="J532" s="33" t="inlineStr">
        <is>
          <t>valor único (cifra declarada)</t>
        </is>
      </c>
      <c r="K532" s="33" t="inlineStr">
        <is>
          <t>Pública</t>
        </is>
      </c>
      <c r="L532" s="33" t="inlineStr">
        <is>
          <t>Copiada a mano de la wiki del grupo; sello «declarado». Los campos que el lago ya calcula se retiraron (ver conciliacion.json).</t>
        </is>
      </c>
      <c r="M532" s="33" t="inlineStr">
        <is>
          <t>¿Se está recuperando el turismo? (Wiki 5.2)</t>
        </is>
      </c>
    </row>
    <row r="533" ht="15.75" customHeight="1" s="24">
      <c r="A533" s="33" t="inlineStr">
        <is>
          <t>F12</t>
        </is>
      </c>
      <c r="B533" s="33" t="inlineStr">
        <is>
          <t>public/data/perfil_wiki.json</t>
        </is>
      </c>
      <c r="C533" s="33" t="inlineStr">
        <is>
          <t>temas.turismo.llegadas_visitantes_pico_2018.valor</t>
        </is>
      </c>
      <c r="D533" s="33" t="inlineStr">
        <is>
          <t>(cifra de informe, copiada a la wiki)</t>
        </is>
      </c>
      <c r="E533" s="33" t="inlineStr">
        <is>
          <t>Llegadas en 2018, el máximo histórico de referencia.</t>
        </is>
      </c>
      <c r="F533" s="33" t="inlineStr">
        <is>
          <t>Entero</t>
        </is>
      </c>
      <c r="G533" s="33" t="inlineStr">
        <is>
          <t>visitantes</t>
        </is>
      </c>
      <c r="H533" s="33" t="inlineStr">
        <is>
          <t>65300000</t>
        </is>
      </c>
      <c r="I533" s="33" t="inlineStr">
        <is>
          <t>No</t>
        </is>
      </c>
      <c r="J533" s="33" t="inlineStr">
        <is>
          <t>valor único (cifra declarada)</t>
        </is>
      </c>
      <c r="K533" s="33" t="inlineStr">
        <is>
          <t>Pública</t>
        </is>
      </c>
      <c r="L533" s="33" t="inlineStr">
        <is>
          <t>Copiada a mano de la wiki del grupo; sello «declarado». Los campos que el lago ya calcula se retiraron (ver conciliacion.json).</t>
        </is>
      </c>
      <c r="M533" s="33" t="inlineStr">
        <is>
          <t>¿Qué tan lejos está el turismo de su pico? (Wiki 5.2)</t>
        </is>
      </c>
    </row>
    <row r="534" ht="15.75" customHeight="1" s="24">
      <c r="A534" s="33" t="inlineStr">
        <is>
          <t>F12</t>
        </is>
      </c>
      <c r="B534" s="33" t="inlineStr">
        <is>
          <t>public/data/perfil_wiki.json</t>
        </is>
      </c>
      <c r="C534" s="33" t="inlineStr">
        <is>
          <t>temas.turismo.llegadas_visitantes_1t2026.valor</t>
        </is>
      </c>
      <c r="D534" s="33" t="inlineStr">
        <is>
          <t>(cifra de informe, copiada a la wiki)</t>
        </is>
      </c>
      <c r="E534" s="33" t="inlineStr">
        <is>
          <t>Llegadas en el primer trimestre de 2026 (récord).</t>
        </is>
      </c>
      <c r="F534" s="33" t="inlineStr">
        <is>
          <t>Entero</t>
        </is>
      </c>
      <c r="G534" s="33" t="inlineStr">
        <is>
          <t>visitantes</t>
        </is>
      </c>
      <c r="H534" s="33" t="inlineStr">
        <is>
          <t>14310000</t>
        </is>
      </c>
      <c r="I534" s="33" t="inlineStr">
        <is>
          <t>No</t>
        </is>
      </c>
      <c r="J534" s="33" t="inlineStr">
        <is>
          <t>valor único (cifra declarada)</t>
        </is>
      </c>
      <c r="K534" s="33" t="inlineStr">
        <is>
          <t>Pública</t>
        </is>
      </c>
      <c r="L534" s="33" t="inlineStr">
        <is>
          <t>Copiada a mano de la wiki del grupo; sello «declarado». Los campos que el lago ya calcula se retiraron (ver conciliacion.json).</t>
        </is>
      </c>
      <c r="M534" s="33" t="inlineStr">
        <is>
          <t>¿Cómo va el turismo este año? (Wiki 5.2)</t>
        </is>
      </c>
    </row>
    <row r="535" ht="15.75" customHeight="1" s="24">
      <c r="A535" s="33" t="inlineStr">
        <is>
          <t>F12</t>
        </is>
      </c>
      <c r="B535" s="33" t="inlineStr">
        <is>
          <t>public/data/perfil_wiki.json</t>
        </is>
      </c>
      <c r="C535" s="33" t="inlineStr">
        <is>
          <t>temas.turismo.var_llegadas_1t2026_pct.valor</t>
        </is>
      </c>
      <c r="D535" s="33" t="inlineStr">
        <is>
          <t>(cifra de informe, copiada a la wiki)</t>
        </is>
      </c>
      <c r="E535" s="33" t="inlineStr">
        <is>
          <t>Variación de las llegadas del primer trimestre de 2026 frente a 2025.</t>
        </is>
      </c>
      <c r="F535" s="33" t="inlineStr">
        <is>
          <t>Entero</t>
        </is>
      </c>
      <c r="G535" s="33" t="inlineStr">
        <is>
          <t>%</t>
        </is>
      </c>
      <c r="H535" s="33" t="inlineStr">
        <is>
          <t>17</t>
        </is>
      </c>
      <c r="I535" s="33" t="inlineStr">
        <is>
          <t>No</t>
        </is>
      </c>
      <c r="J535" s="33" t="inlineStr">
        <is>
          <t>valor único (cifra declarada)</t>
        </is>
      </c>
      <c r="K535" s="33" t="inlineStr">
        <is>
          <t>Pública</t>
        </is>
      </c>
      <c r="L535" s="33" t="inlineStr">
        <is>
          <t>Copiada a mano de la wiki del grupo; sello «declarado». Los campos que el lago ya calcula se retiraron (ver conciliacion.json).</t>
        </is>
      </c>
      <c r="M535" s="33" t="inlineStr">
        <is>
          <t>¿El turismo sigue acelerando? (Wiki 5.2)</t>
        </is>
      </c>
    </row>
    <row r="536" ht="15.75" customHeight="1" s="24">
      <c r="A536" s="33" t="inlineStr">
        <is>
          <t>F12</t>
        </is>
      </c>
      <c r="B536" s="33" t="inlineStr">
        <is>
          <t>public/data/perfil_wiki.json</t>
        </is>
      </c>
      <c r="C536" s="33" t="inlineStr">
        <is>
          <t>temas.turismo.llegadas_continentales_2025.valor</t>
        </is>
      </c>
      <c r="D536" s="33" t="inlineStr">
        <is>
          <t>(cifra de informe, copiada a la wiki)</t>
        </is>
      </c>
      <c r="E536" s="33" t="inlineStr">
        <is>
          <t>Visitantes de China continental en 2025.</t>
        </is>
      </c>
      <c r="F536" s="33" t="inlineStr">
        <is>
          <t>Entero</t>
        </is>
      </c>
      <c r="G536" s="33" t="inlineStr">
        <is>
          <t>visitantes</t>
        </is>
      </c>
      <c r="H536" s="33" t="inlineStr">
        <is>
          <t>37800000</t>
        </is>
      </c>
      <c r="I536" s="33" t="inlineStr">
        <is>
          <t>No</t>
        </is>
      </c>
      <c r="J536" s="33" t="inlineStr">
        <is>
          <t>valor único (cifra declarada)</t>
        </is>
      </c>
      <c r="K536" s="33" t="inlineStr">
        <is>
          <t>Pública</t>
        </is>
      </c>
      <c r="L536" s="33" t="inlineStr">
        <is>
          <t>Copiada a mano de la wiki del grupo; sello «declarado». Los campos que el lago ya calcula se retiraron (ver conciliacion.json).</t>
        </is>
      </c>
      <c r="M536" s="33" t="inlineStr">
        <is>
          <t>¿Qué tanto depende el turismo de China continental? (Wiki 5.3)</t>
        </is>
      </c>
    </row>
    <row r="537" ht="15.75" customHeight="1" s="24">
      <c r="A537" s="33" t="inlineStr">
        <is>
          <t>F12</t>
        </is>
      </c>
      <c r="B537" s="33" t="inlineStr">
        <is>
          <t>public/data/perfil_wiki.json</t>
        </is>
      </c>
      <c r="C537" s="33" t="inlineStr">
        <is>
          <t>temas.turismo.llegadas_no_continentales_2025.valor</t>
        </is>
      </c>
      <c r="D537" s="33" t="inlineStr">
        <is>
          <t>(cifra de informe, copiada a la wiki)</t>
        </is>
      </c>
      <c r="E537" s="33" t="inlineStr">
        <is>
          <t>Visitantes de otros mercados en 2025.</t>
        </is>
      </c>
      <c r="F537" s="33" t="inlineStr">
        <is>
          <t>Entero</t>
        </is>
      </c>
      <c r="G537" s="33" t="inlineStr">
        <is>
          <t>visitantes</t>
        </is>
      </c>
      <c r="H537" s="33" t="inlineStr">
        <is>
          <t>12100000</t>
        </is>
      </c>
      <c r="I537" s="33" t="inlineStr">
        <is>
          <t>No</t>
        </is>
      </c>
      <c r="J537" s="33" t="inlineStr">
        <is>
          <t>valor único (cifra declarada)</t>
        </is>
      </c>
      <c r="K537" s="33" t="inlineStr">
        <is>
          <t>Pública</t>
        </is>
      </c>
      <c r="L537" s="33" t="inlineStr">
        <is>
          <t>Copiada a mano de la wiki del grupo; sello «declarado». Los campos que el lago ya calcula se retiraron (ver conciliacion.json).</t>
        </is>
      </c>
      <c r="M537" s="33" t="inlineStr">
        <is>
          <t>¿Cuánto turismo internacional llega? (Wiki 5.3)</t>
        </is>
      </c>
    </row>
    <row r="538" ht="15.75" customHeight="1" s="24">
      <c r="A538" s="33" t="inlineStr">
        <is>
          <t>F12</t>
        </is>
      </c>
      <c r="B538" s="33" t="inlineStr">
        <is>
          <t>public/data/perfil_wiki.json</t>
        </is>
      </c>
      <c r="C538" s="33" t="inlineStr">
        <is>
          <t>temas.turismo.pct_pib_turismo_2024.valor</t>
        </is>
      </c>
      <c r="D538" s="33" t="inlineStr">
        <is>
          <t>(cifra de informe, copiada a la wiki)</t>
        </is>
      </c>
      <c r="E538" s="33" t="inlineStr">
        <is>
          <t>Peso del turismo en el PIB (medida oficial).</t>
        </is>
      </c>
      <c r="F538" s="33" t="inlineStr">
        <is>
          <t>Decimal</t>
        </is>
      </c>
      <c r="G538" s="33" t="inlineStr">
        <is>
          <t>% del PIB</t>
        </is>
      </c>
      <c r="H538" s="33" t="inlineStr">
        <is>
          <t>2.8</t>
        </is>
      </c>
      <c r="I538" s="33" t="inlineStr">
        <is>
          <t>No</t>
        </is>
      </c>
      <c r="J538" s="33" t="inlineStr">
        <is>
          <t>valor único (cifra declarada)</t>
        </is>
      </c>
      <c r="K538" s="33" t="inlineStr">
        <is>
          <t>Pública</t>
        </is>
      </c>
      <c r="L538" s="33" t="inlineStr">
        <is>
          <t>Copiada a mano de la wiki del grupo; sello «declarado». Los campos que el lago ya calcula se retiraron (ver conciliacion.json).</t>
        </is>
      </c>
      <c r="M538" s="33" t="inlineStr">
        <is>
          <t>¿Qué tan importante es el turismo para la economía? (Wiki 5.1)</t>
        </is>
      </c>
    </row>
    <row r="539" ht="15.75" customHeight="1" s="24">
      <c r="A539" s="33" t="inlineStr">
        <is>
          <t>F12</t>
        </is>
      </c>
      <c r="B539" s="33" t="inlineStr">
        <is>
          <t>public/data/perfil_wiki.json</t>
        </is>
      </c>
      <c r="C539" s="33" t="inlineStr">
        <is>
          <t>temas.turismo.empleos_turismo_2024.valor</t>
        </is>
      </c>
      <c r="D539" s="33" t="inlineStr">
        <is>
          <t>(cifra de informe, copiada a la wiki)</t>
        </is>
      </c>
      <c r="E539" s="33" t="inlineStr">
        <is>
          <t>Empleos generados por el turismo en 2024.</t>
        </is>
      </c>
      <c r="F539" s="33" t="inlineStr">
        <is>
          <t>Entero</t>
        </is>
      </c>
      <c r="G539" s="33" t="inlineStr">
        <is>
          <t>empleos</t>
        </is>
      </c>
      <c r="H539" s="33" t="inlineStr">
        <is>
          <t>159700</t>
        </is>
      </c>
      <c r="I539" s="33" t="inlineStr">
        <is>
          <t>No</t>
        </is>
      </c>
      <c r="J539" s="33" t="inlineStr">
        <is>
          <t>valor único (cifra declarada)</t>
        </is>
      </c>
      <c r="K539" s="33" t="inlineStr">
        <is>
          <t>Pública</t>
        </is>
      </c>
      <c r="L539" s="33" t="inlineStr">
        <is>
          <t>Copiada a mano de la wiki del grupo; sello «declarado». Los campos que el lago ya calcula se retiraron (ver conciliacion.json).</t>
        </is>
      </c>
      <c r="M539" s="33" t="inlineStr">
        <is>
          <t>¿Cuánto empleo genera el turismo? (Wiki 5.1)</t>
        </is>
      </c>
    </row>
    <row r="540" ht="15.75" customHeight="1" s="24">
      <c r="A540" s="33" t="inlineStr">
        <is>
          <t>F12</t>
        </is>
      </c>
      <c r="B540" s="33" t="inlineStr">
        <is>
          <t>public/data/perfil_wiki.json</t>
        </is>
      </c>
      <c r="C540" s="33" t="inlineStr">
        <is>
          <t>temas.turismo.pct_empleo_turismo_2024.valor</t>
        </is>
      </c>
      <c r="D540" s="33" t="inlineStr">
        <is>
          <t>(cifra de informe, copiada a la wiki)</t>
        </is>
      </c>
      <c r="E540" s="33" t="inlineStr">
        <is>
          <t>Peso del turismo en el empleo total.</t>
        </is>
      </c>
      <c r="F540" s="33" t="inlineStr">
        <is>
          <t>Decimal</t>
        </is>
      </c>
      <c r="G540" s="33" t="inlineStr">
        <is>
          <t>% del empleo</t>
        </is>
      </c>
      <c r="H540" s="33" t="inlineStr">
        <is>
          <t>4.3</t>
        </is>
      </c>
      <c r="I540" s="33" t="inlineStr">
        <is>
          <t>No</t>
        </is>
      </c>
      <c r="J540" s="33" t="inlineStr">
        <is>
          <t>valor único (cifra declarada)</t>
        </is>
      </c>
      <c r="K540" s="33" t="inlineStr">
        <is>
          <t>Pública</t>
        </is>
      </c>
      <c r="L540" s="33" t="inlineStr">
        <is>
          <t>Copiada a mano de la wiki del grupo; sello «declarado». Los campos que el lago ya calcula se retiraron (ver conciliacion.json).</t>
        </is>
      </c>
      <c r="M540" s="33" t="inlineStr">
        <is>
          <t>¿Qué parte del empleo depende del turismo? (Wiki 5.1)</t>
        </is>
      </c>
    </row>
    <row r="541" ht="15.75" customHeight="1" s="24">
      <c r="A541" s="33" t="inlineStr">
        <is>
          <t>F12</t>
        </is>
      </c>
      <c r="B541" s="33" t="inlineStr">
        <is>
          <t>public/data/perfil_wiki.json</t>
        </is>
      </c>
      <c r="C541" s="33" t="inlineStr">
        <is>
          <t>temas.turismo.gasto_turistico_receptor_2024.valor</t>
        </is>
      </c>
      <c r="D541" s="33" t="inlineStr">
        <is>
          <t>(cifra de informe, copiada a la wiki)</t>
        </is>
      </c>
      <c r="E541" s="33" t="inlineStr">
        <is>
          <t>Gasto total de los visitantes en 2024.</t>
        </is>
      </c>
      <c r="F541" s="33" t="inlineStr">
        <is>
          <t>Entero</t>
        </is>
      </c>
      <c r="G541" s="33" t="inlineStr">
        <is>
          <t>HK$ millones</t>
        </is>
      </c>
      <c r="H541" s="33" t="inlineStr">
        <is>
          <t>195000</t>
        </is>
      </c>
      <c r="I541" s="33" t="inlineStr">
        <is>
          <t>No</t>
        </is>
      </c>
      <c r="J541" s="33" t="inlineStr">
        <is>
          <t>valor único (cifra declarada)</t>
        </is>
      </c>
      <c r="K541" s="33" t="inlineStr">
        <is>
          <t>Pública</t>
        </is>
      </c>
      <c r="L541" s="33" t="inlineStr">
        <is>
          <t>Copiada a mano de la wiki del grupo; sello «declarado». Los campos que el lago ya calcula se retiraron (ver conciliacion.json).</t>
        </is>
      </c>
      <c r="M541" s="33" t="inlineStr">
        <is>
          <t>¿Cuánto gastan los turistas? (Wiki 5.4)</t>
        </is>
      </c>
    </row>
    <row r="542" ht="15.75" customHeight="1" s="24">
      <c r="A542" s="33" t="inlineStr">
        <is>
          <t>F12</t>
        </is>
      </c>
      <c r="B542" s="33" t="inlineStr">
        <is>
          <t>public/data/perfil_wiki.json</t>
        </is>
      </c>
      <c r="C542" s="33" t="inlineStr">
        <is>
          <t>temas.turismo.var_gasto_turistico_2024_pct.valor</t>
        </is>
      </c>
      <c r="D542" s="33" t="inlineStr">
        <is>
          <t>(cifra de informe, copiada a la wiki)</t>
        </is>
      </c>
      <c r="E542" s="33" t="inlineStr">
        <is>
          <t>Variación del gasto turístico frente a 2023.</t>
        </is>
      </c>
      <c r="F542" s="33" t="inlineStr">
        <is>
          <t>Decimal</t>
        </is>
      </c>
      <c r="G542" s="33" t="inlineStr">
        <is>
          <t>%</t>
        </is>
      </c>
      <c r="H542" s="33" t="inlineStr">
        <is>
          <t>9.6</t>
        </is>
      </c>
      <c r="I542" s="33" t="inlineStr">
        <is>
          <t>No</t>
        </is>
      </c>
      <c r="J542" s="33" t="inlineStr">
        <is>
          <t>valor único (cifra declarada)</t>
        </is>
      </c>
      <c r="K542" s="33" t="inlineStr">
        <is>
          <t>Pública</t>
        </is>
      </c>
      <c r="L542" s="33" t="inlineStr">
        <is>
          <t>Copiada a mano de la wiki del grupo; sello «declarado». Los campos que el lago ya calcula se retiraron (ver conciliacion.json).</t>
        </is>
      </c>
      <c r="M542" s="33" t="inlineStr">
        <is>
          <t>¿El gasto turístico está creciendo? (Wiki 5.4)</t>
        </is>
      </c>
    </row>
    <row r="543" ht="15.75" customHeight="1" s="24">
      <c r="A543" s="33" t="inlineStr">
        <is>
          <t>F12</t>
        </is>
      </c>
      <c r="B543" s="33" t="inlineStr">
        <is>
          <t>public/data/perfil_wiki.json</t>
        </is>
      </c>
      <c r="C543" s="33" t="inlineStr">
        <is>
          <t>temas.turismo.estancia_media_noches_2025.valor</t>
        </is>
      </c>
      <c r="D543" s="33" t="inlineStr">
        <is>
          <t>(cifra de informe, copiada a la wiki)</t>
        </is>
      </c>
      <c r="E543" s="33" t="inlineStr">
        <is>
          <t>Noches promedio que se queda un visitante con pernoctación.</t>
        </is>
      </c>
      <c r="F543" s="33" t="inlineStr">
        <is>
          <t>Decimal</t>
        </is>
      </c>
      <c r="G543" s="33" t="inlineStr">
        <is>
          <t>noches</t>
        </is>
      </c>
      <c r="H543" s="33" t="inlineStr">
        <is>
          <t>3.1</t>
        </is>
      </c>
      <c r="I543" s="33" t="inlineStr">
        <is>
          <t>No</t>
        </is>
      </c>
      <c r="J543" s="33" t="inlineStr">
        <is>
          <t>valor único (cifra declarada)</t>
        </is>
      </c>
      <c r="K543" s="33" t="inlineStr">
        <is>
          <t>Pública</t>
        </is>
      </c>
      <c r="L543" s="33" t="inlineStr">
        <is>
          <t>Copiada a mano de la wiki del grupo; sello «declarado». Los campos que el lago ya calcula se retiraron (ver conciliacion.json).</t>
        </is>
      </c>
      <c r="M543" s="33" t="inlineStr">
        <is>
          <t>¿Cuánto tiempo se quedan los turistas? (Wiki 5.5)</t>
        </is>
      </c>
    </row>
    <row r="544" ht="15.75" customHeight="1" s="24">
      <c r="A544" s="33" t="inlineStr">
        <is>
          <t>F12</t>
        </is>
      </c>
      <c r="B544" s="33" t="inlineStr">
        <is>
          <t>public/data/perfil_wiki.json</t>
        </is>
      </c>
      <c r="C544" s="33" t="inlineStr">
        <is>
          <t>temas.turismo.ocupacion_hotelera_2025_pct.valor</t>
        </is>
      </c>
      <c r="D544" s="33" t="inlineStr">
        <is>
          <t>(cifra de informe, copiada a la wiki)</t>
        </is>
      </c>
      <c r="E544" s="33" t="inlineStr">
        <is>
          <t>Porcentaje de ocupación de las habitaciones de hotel en 2025.</t>
        </is>
      </c>
      <c r="F544" s="33" t="inlineStr">
        <is>
          <t>Entero</t>
        </is>
      </c>
      <c r="G544" s="33" t="inlineStr">
        <is>
          <t>%</t>
        </is>
      </c>
      <c r="H544" s="33" t="inlineStr">
        <is>
          <t>87</t>
        </is>
      </c>
      <c r="I544" s="33" t="inlineStr">
        <is>
          <t>No</t>
        </is>
      </c>
      <c r="J544" s="33" t="inlineStr">
        <is>
          <t>valor único (cifra declarada)</t>
        </is>
      </c>
      <c r="K544" s="33" t="inlineStr">
        <is>
          <t>Pública</t>
        </is>
      </c>
      <c r="L544" s="33" t="inlineStr">
        <is>
          <t>Copiada a mano de la wiki del grupo; sello «declarado». Los campos que el lago ya calcula se retiraron (ver conciliacion.json).</t>
        </is>
      </c>
      <c r="M544" s="33" t="inlineStr">
        <is>
          <t>¿Alcanza la oferta hotelera? (Wiki 5.6)</t>
        </is>
      </c>
    </row>
    <row r="545" ht="15.75" customHeight="1" s="24">
      <c r="A545" s="33" t="inlineStr">
        <is>
          <t>F13</t>
        </is>
      </c>
      <c r="B545" s="33" t="inlineStr">
        <is>
          <t>public/data/perfil_wiki.json</t>
        </is>
      </c>
      <c r="C545" s="33" t="inlineStr">
        <is>
          <t>temas.suelo.n_country_parks.valor</t>
        </is>
      </c>
      <c r="D545" s="33" t="inlineStr">
        <is>
          <t>(cifra de informe, copiada a la wiki)</t>
        </is>
      </c>
      <c r="E545" s="33" t="inlineStr">
        <is>
          <t>Número de parques naturales (country parks) designados.</t>
        </is>
      </c>
      <c r="F545" s="33" t="inlineStr">
        <is>
          <t>Entero</t>
        </is>
      </c>
      <c r="G545" s="33" t="inlineStr">
        <is>
          <t>parques</t>
        </is>
      </c>
      <c r="H545" s="33" t="inlineStr">
        <is>
          <t>25</t>
        </is>
      </c>
      <c r="I545" s="33" t="inlineStr">
        <is>
          <t>No</t>
        </is>
      </c>
      <c r="J545" s="33" t="inlineStr">
        <is>
          <t>valor único (cifra declarada)</t>
        </is>
      </c>
      <c r="K545" s="33" t="inlineStr">
        <is>
          <t>Pública</t>
        </is>
      </c>
      <c r="L545" s="33" t="inlineStr">
        <is>
          <t>Copiada a mano de la wiki del grupo; sello «declarado». Los campos que el lago ya calcula se retiraron (ver conciliacion.json).</t>
        </is>
      </c>
      <c r="M545" s="33" t="inlineStr">
        <is>
          <t>¿Cuánto territorio está protegido? (Wiki 6.6)</t>
        </is>
      </c>
    </row>
    <row r="546" ht="15.75" customHeight="1" s="24">
      <c r="A546" s="33" t="inlineStr">
        <is>
          <t>F13</t>
        </is>
      </c>
      <c r="B546" s="33" t="inlineStr">
        <is>
          <t>public/data/perfil_wiki.json</t>
        </is>
      </c>
      <c r="C546" s="33" t="inlineStr">
        <is>
          <t>temas.suelo.n_special_areas.valor</t>
        </is>
      </c>
      <c r="D546" s="33" t="inlineStr">
        <is>
          <t>(cifra de informe, copiada a la wiki)</t>
        </is>
      </c>
      <c r="E546" s="33" t="inlineStr">
        <is>
          <t>Número de áreas especiales de conservación.</t>
        </is>
      </c>
      <c r="F546" s="33" t="inlineStr">
        <is>
          <t>Entero</t>
        </is>
      </c>
      <c r="G546" s="33" t="inlineStr">
        <is>
          <t>áreas</t>
        </is>
      </c>
      <c r="H546" s="33" t="inlineStr">
        <is>
          <t>22</t>
        </is>
      </c>
      <c r="I546" s="33" t="inlineStr">
        <is>
          <t>No</t>
        </is>
      </c>
      <c r="J546" s="33" t="inlineStr">
        <is>
          <t>valor único (cifra declarada)</t>
        </is>
      </c>
      <c r="K546" s="33" t="inlineStr">
        <is>
          <t>Pública</t>
        </is>
      </c>
      <c r="L546" s="33" t="inlineStr">
        <is>
          <t>Copiada a mano de la wiki del grupo; sello «declarado». Los campos que el lago ya calcula se retiraron (ver conciliacion.json).</t>
        </is>
      </c>
      <c r="M546" s="33" t="inlineStr">
        <is>
          <t>¿Cuántas áreas especiales hay? (Wiki 6.6)</t>
        </is>
      </c>
    </row>
    <row r="547" ht="15.75" customHeight="1" s="24">
      <c r="A547" s="33" t="inlineStr">
        <is>
          <t>F13</t>
        </is>
      </c>
      <c r="B547" s="33" t="inlineStr">
        <is>
          <t>public/data/perfil_wiki.json</t>
        </is>
      </c>
      <c r="C547" s="33" t="inlineStr">
        <is>
          <t>temas.suelo.area_protegida_km2.valor</t>
        </is>
      </c>
      <c r="D547" s="33" t="inlineStr">
        <is>
          <t>(cifra de informe, copiada a la wiki)</t>
        </is>
      </c>
      <c r="E547" s="33" t="inlineStr">
        <is>
          <t>Superficie total de parques y áreas especiales.</t>
        </is>
      </c>
      <c r="F547" s="33" t="inlineStr">
        <is>
          <t>Entero</t>
        </is>
      </c>
      <c r="G547" s="33" t="inlineStr">
        <is>
          <t>km²</t>
        </is>
      </c>
      <c r="H547" s="33" t="inlineStr">
        <is>
          <t>442</t>
        </is>
      </c>
      <c r="I547" s="33" t="inlineStr">
        <is>
          <t>No</t>
        </is>
      </c>
      <c r="J547" s="33" t="inlineStr">
        <is>
          <t>valor único (cifra declarada)</t>
        </is>
      </c>
      <c r="K547" s="33" t="inlineStr">
        <is>
          <t>Pública</t>
        </is>
      </c>
      <c r="L547" s="33" t="inlineStr">
        <is>
          <t>Copiada a mano de la wiki del grupo; sello «declarado». Los campos que el lago ya calcula se retiraron (ver conciliacion.json).</t>
        </is>
      </c>
      <c r="M547" s="33" t="inlineStr">
        <is>
          <t>¿Cuánto suelo está protegido? (Wiki 6.6)</t>
        </is>
      </c>
    </row>
    <row r="548" ht="15.75" customHeight="1" s="24">
      <c r="A548" s="33" t="inlineStr">
        <is>
          <t>F13</t>
        </is>
      </c>
      <c r="B548" s="33" t="inlineStr">
        <is>
          <t>public/data/perfil_wiki.json</t>
        </is>
      </c>
      <c r="C548" s="33" t="inlineStr">
        <is>
          <t>temas.suelo.pct_territorio_protegido.valor</t>
        </is>
      </c>
      <c r="D548" s="33" t="inlineStr">
        <is>
          <t>(cifra de informe, copiada a la wiki)</t>
        </is>
      </c>
      <c r="E548" s="33" t="inlineStr">
        <is>
          <t>Porcentaje del territorio bajo protección.</t>
        </is>
      </c>
      <c r="F548" s="33" t="inlineStr">
        <is>
          <t>Entero</t>
        </is>
      </c>
      <c r="G548" s="33" t="inlineStr">
        <is>
          <t>%</t>
        </is>
      </c>
      <c r="H548" s="33" t="inlineStr">
        <is>
          <t>40</t>
        </is>
      </c>
      <c r="I548" s="33" t="inlineStr">
        <is>
          <t>No</t>
        </is>
      </c>
      <c r="J548" s="33" t="inlineStr">
        <is>
          <t>valor único (cifra declarada)</t>
        </is>
      </c>
      <c r="K548" s="33" t="inlineStr">
        <is>
          <t>Pública</t>
        </is>
      </c>
      <c r="L548" s="33" t="inlineStr">
        <is>
          <t>Copiada a mano de la wiki del grupo; sello «declarado». Los campos que el lago ya calcula se retiraron (ver conciliacion.json).</t>
        </is>
      </c>
      <c r="M548" s="33" t="inlineStr">
        <is>
          <t>¿Qué proporción de la ciudad es naturaleza protegida? (Wiki 6.6)</t>
        </is>
      </c>
    </row>
    <row r="549" ht="15.75" customHeight="1" s="24">
      <c r="A549" s="33" t="inlineStr">
        <is>
          <t>F14</t>
        </is>
      </c>
      <c r="B549" s="33" t="inlineStr">
        <is>
          <t>public/data/perfil_wiki.json</t>
        </is>
      </c>
      <c r="C549" s="33" t="inlineStr">
        <is>
          <t>temas.suelo.pct_suministro_dongjiang_min.valor</t>
        </is>
      </c>
      <c r="D549" s="33" t="inlineStr">
        <is>
          <t>(cifra de informe, copiada a la wiki)</t>
        </is>
      </c>
      <c r="E549" s="33" t="inlineStr">
        <is>
          <t>Límite inferior del porcentaje del agua que viene del río Dongjiang.</t>
        </is>
      </c>
      <c r="F549" s="33" t="inlineStr">
        <is>
          <t>Entero</t>
        </is>
      </c>
      <c r="G549" s="33" t="inlineStr">
        <is>
          <t>%</t>
        </is>
      </c>
      <c r="H549" s="33" t="inlineStr">
        <is>
          <t>70</t>
        </is>
      </c>
      <c r="I549" s="33" t="inlineStr">
        <is>
          <t>No</t>
        </is>
      </c>
      <c r="J549" s="33" t="inlineStr">
        <is>
          <t>valor único (cifra declarada)</t>
        </is>
      </c>
      <c r="K549" s="33" t="inlineStr">
        <is>
          <t>Pública</t>
        </is>
      </c>
      <c r="L549" s="33" t="inlineStr">
        <is>
          <t>Copiada a mano de la wiki del grupo; sello «declarado». Los campos que el lago ya calcula se retiraron (ver conciliacion.json).</t>
        </is>
      </c>
      <c r="M549" s="33" t="inlineStr">
        <is>
          <t>¿Qué tan dependiente es la ciudad del agua de China continental? (Wiki 6.7)</t>
        </is>
      </c>
    </row>
    <row r="550" ht="15.75" customHeight="1" s="24">
      <c r="A550" s="33" t="inlineStr">
        <is>
          <t>F14</t>
        </is>
      </c>
      <c r="B550" s="33" t="inlineStr">
        <is>
          <t>public/data/perfil_wiki.json</t>
        </is>
      </c>
      <c r="C550" s="33" t="inlineStr">
        <is>
          <t>temas.suelo.pct_suministro_dongjiang_max.valor</t>
        </is>
      </c>
      <c r="D550" s="33" t="inlineStr">
        <is>
          <t>(cifra de informe, copiada a la wiki)</t>
        </is>
      </c>
      <c r="E550" s="33" t="inlineStr">
        <is>
          <t>Límite superior del porcentaje del agua que viene del río Dongjiang.</t>
        </is>
      </c>
      <c r="F550" s="33" t="inlineStr">
        <is>
          <t>Entero</t>
        </is>
      </c>
      <c r="G550" s="33" t="inlineStr">
        <is>
          <t>%</t>
        </is>
      </c>
      <c r="H550" s="33" t="inlineStr">
        <is>
          <t>80</t>
        </is>
      </c>
      <c r="I550" s="33" t="inlineStr">
        <is>
          <t>No</t>
        </is>
      </c>
      <c r="J550" s="33" t="inlineStr">
        <is>
          <t>valor único (cifra declarada)</t>
        </is>
      </c>
      <c r="K550" s="33" t="inlineStr">
        <is>
          <t>Pública</t>
        </is>
      </c>
      <c r="L550" s="33" t="inlineStr">
        <is>
          <t>Copiada a mano de la wiki del grupo; sello «declarado». Los campos que el lago ya calcula se retiraron (ver conciliacion.json).</t>
        </is>
      </c>
      <c r="M550" s="33" t="inlineStr">
        <is>
          <t>¿Qué tan dependiente es la ciudad del agua de China continental? (Wiki 6.7)</t>
        </is>
      </c>
    </row>
    <row r="551" ht="15.75" customHeight="1" s="24">
      <c r="A551" s="33" t="inlineStr">
        <is>
          <t>F14</t>
        </is>
      </c>
      <c r="B551" s="33" t="inlineStr">
        <is>
          <t>public/data/perfil_wiki.json</t>
        </is>
      </c>
      <c r="C551" s="33" t="inlineStr">
        <is>
          <t>temas.suelo.agua_importada_dongjiang_2024_25.valor</t>
        </is>
      </c>
      <c r="D551" s="33" t="inlineStr">
        <is>
          <t>(cifra de informe, copiada a la wiki)</t>
        </is>
      </c>
      <c r="E551" s="33" t="inlineStr">
        <is>
          <t>Volumen de agua importada del Dongjiang en 2024/25.</t>
        </is>
      </c>
      <c r="F551" s="33" t="inlineStr">
        <is>
          <t>Entero</t>
        </is>
      </c>
      <c r="G551" s="33" t="inlineStr">
        <is>
          <t>millones de m³</t>
        </is>
      </c>
      <c r="H551" s="33" t="inlineStr">
        <is>
          <t>816</t>
        </is>
      </c>
      <c r="I551" s="33" t="inlineStr">
        <is>
          <t>No</t>
        </is>
      </c>
      <c r="J551" s="33" t="inlineStr">
        <is>
          <t>valor único (cifra declarada)</t>
        </is>
      </c>
      <c r="K551" s="33" t="inlineStr">
        <is>
          <t>Pública</t>
        </is>
      </c>
      <c r="L551" s="33" t="inlineStr">
        <is>
          <t>Copiada a mano de la wiki del grupo; sello «declarado». Los campos que el lago ya calcula se retiraron (ver conciliacion.json).</t>
        </is>
      </c>
      <c r="M551" s="33" t="inlineStr">
        <is>
          <t>¿Cuánta agua se importa? (Wiki 6.7)</t>
        </is>
      </c>
    </row>
    <row r="552" ht="15.75" customHeight="1" s="24">
      <c r="A552" s="33" t="inlineStr">
        <is>
          <t>F14</t>
        </is>
      </c>
      <c r="B552" s="33" t="inlineStr">
        <is>
          <t>public/data/perfil_wiki.json</t>
        </is>
      </c>
      <c r="C552" s="33" t="inlineStr">
        <is>
          <t>temas.suelo.pct_consumo_dongjiang_2024.valor</t>
        </is>
      </c>
      <c r="D552" s="33" t="inlineStr">
        <is>
          <t>(cifra de informe, copiada a la wiki)</t>
        </is>
      </c>
      <c r="E552" s="33" t="inlineStr">
        <is>
          <t>Parte del consumo de agua de 2024 cubierta por el Dongjiang.</t>
        </is>
      </c>
      <c r="F552" s="33" t="inlineStr">
        <is>
          <t>Entero</t>
        </is>
      </c>
      <c r="G552" s="33" t="inlineStr">
        <is>
          <t>%</t>
        </is>
      </c>
      <c r="H552" s="33" t="inlineStr">
        <is>
          <t>60</t>
        </is>
      </c>
      <c r="I552" s="33" t="inlineStr">
        <is>
          <t>No</t>
        </is>
      </c>
      <c r="J552" s="33" t="inlineStr">
        <is>
          <t>valor único (cifra declarada)</t>
        </is>
      </c>
      <c r="K552" s="33" t="inlineStr">
        <is>
          <t>Pública</t>
        </is>
      </c>
      <c r="L552" s="33" t="inlineStr">
        <is>
          <t>Copiada a mano de la wiki del grupo; sello «declarado». Los campos que el lago ya calcula se retiraron (ver conciliacion.json).</t>
        </is>
      </c>
      <c r="M552" s="33" t="inlineStr">
        <is>
          <t>¿De dónde sale el agua que se consume? (Wiki 6.7)</t>
        </is>
      </c>
    </row>
    <row r="553" ht="15.75" customHeight="1" s="24">
      <c r="A553" s="33" t="inlineStr">
        <is>
          <t>F14</t>
        </is>
      </c>
      <c r="B553" s="33" t="inlineStr">
        <is>
          <t>public/data/perfil_wiki.json</t>
        </is>
      </c>
      <c r="C553" s="33" t="inlineStr">
        <is>
          <t>temas.suelo.pct_consumo_lluvia_local_2024.valor</t>
        </is>
      </c>
      <c r="D553" s="33" t="inlineStr">
        <is>
          <t>(cifra de informe, copiada a la wiki)</t>
        </is>
      </c>
      <c r="E553" s="33" t="inlineStr">
        <is>
          <t>Parte del consumo cubierta por lluvia local.</t>
        </is>
      </c>
      <c r="F553" s="33" t="inlineStr">
        <is>
          <t>Entero</t>
        </is>
      </c>
      <c r="G553" s="33" t="inlineStr">
        <is>
          <t>%</t>
        </is>
      </c>
      <c r="H553" s="33" t="inlineStr">
        <is>
          <t>17</t>
        </is>
      </c>
      <c r="I553" s="33" t="inlineStr">
        <is>
          <t>No</t>
        </is>
      </c>
      <c r="J553" s="33" t="inlineStr">
        <is>
          <t>valor único (cifra declarada)</t>
        </is>
      </c>
      <c r="K553" s="33" t="inlineStr">
        <is>
          <t>Pública</t>
        </is>
      </c>
      <c r="L553" s="33" t="inlineStr">
        <is>
          <t>Copiada a mano de la wiki del grupo; sello «declarado». Los campos que el lago ya calcula se retiraron (ver conciliacion.json).</t>
        </is>
      </c>
      <c r="M553" s="33" t="inlineStr">
        <is>
          <t>¿Cuánto aporta la lluvia local? (Wiki 6.7)</t>
        </is>
      </c>
    </row>
    <row r="554" ht="15.75" customHeight="1" s="24">
      <c r="A554" s="33" t="inlineStr">
        <is>
          <t>F14</t>
        </is>
      </c>
      <c r="B554" s="33" t="inlineStr">
        <is>
          <t>public/data/perfil_wiki.json</t>
        </is>
      </c>
      <c r="C554" s="33" t="inlineStr">
        <is>
          <t>temas.suelo.pct_consumo_agua_mar_2024.valor</t>
        </is>
      </c>
      <c r="D554" s="33" t="inlineStr">
        <is>
          <t>(cifra de informe, copiada a la wiki)</t>
        </is>
      </c>
      <c r="E554" s="33" t="inlineStr">
        <is>
          <t>Parte del consumo cubierta con agua de mar (inodoros).</t>
        </is>
      </c>
      <c r="F554" s="33" t="inlineStr">
        <is>
          <t>Entero</t>
        </is>
      </c>
      <c r="G554" s="33" t="inlineStr">
        <is>
          <t>%</t>
        </is>
      </c>
      <c r="H554" s="33" t="inlineStr">
        <is>
          <t>22</t>
        </is>
      </c>
      <c r="I554" s="33" t="inlineStr">
        <is>
          <t>No</t>
        </is>
      </c>
      <c r="J554" s="33" t="inlineStr">
        <is>
          <t>valor único (cifra declarada)</t>
        </is>
      </c>
      <c r="K554" s="33" t="inlineStr">
        <is>
          <t>Pública</t>
        </is>
      </c>
      <c r="L554" s="33" t="inlineStr">
        <is>
          <t>Copiada a mano de la wiki del grupo; sello «declarado». Los campos que el lago ya calcula se retiraron (ver conciliacion.json).</t>
        </is>
      </c>
      <c r="M554" s="33" t="inlineStr">
        <is>
          <t>¿Cuánto se ahorra usando agua de mar? (Wiki 6.7)</t>
        </is>
      </c>
    </row>
    <row r="555" ht="15.75" customHeight="1" s="24">
      <c r="A555" s="33" t="inlineStr">
        <is>
          <t>F14</t>
        </is>
      </c>
      <c r="B555" s="33" t="inlineStr">
        <is>
          <t>public/data/perfil_wiki.json</t>
        </is>
      </c>
      <c r="C555" s="33" t="inlineStr">
        <is>
          <t>temas.suelo.pct_consumo_desalacion_2024.valor</t>
        </is>
      </c>
      <c r="D555" s="33" t="inlineStr">
        <is>
          <t>(cifra de informe, copiada a la wiki)</t>
        </is>
      </c>
      <c r="E555" s="33" t="inlineStr">
        <is>
          <t>Parte del consumo cubierta por agua desalada.</t>
        </is>
      </c>
      <c r="F555" s="33" t="inlineStr">
        <is>
          <t>Entero</t>
        </is>
      </c>
      <c r="G555" s="33" t="inlineStr">
        <is>
          <t>%</t>
        </is>
      </c>
      <c r="H555" s="33" t="inlineStr">
        <is>
          <t>1</t>
        </is>
      </c>
      <c r="I555" s="33" t="inlineStr">
        <is>
          <t>No</t>
        </is>
      </c>
      <c r="J555" s="33" t="inlineStr">
        <is>
          <t>valor único (cifra declarada)</t>
        </is>
      </c>
      <c r="K555" s="33" t="inlineStr">
        <is>
          <t>Pública</t>
        </is>
      </c>
      <c r="L555" s="33" t="inlineStr">
        <is>
          <t>Copiada a mano de la wiki del grupo; sello «declarado». Los campos que el lago ya calcula se retiraron (ver conciliacion.json).</t>
        </is>
      </c>
      <c r="M555" s="33" t="inlineStr">
        <is>
          <t>¿Qué tanto aporta la desalación hoy? (Wiki 6.7)</t>
        </is>
      </c>
    </row>
    <row r="556" ht="15.75" customHeight="1" s="24">
      <c r="A556" s="33" t="inlineStr">
        <is>
          <t>F14</t>
        </is>
      </c>
      <c r="B556" s="33" t="inlineStr">
        <is>
          <t>public/data/perfil_wiki.json</t>
        </is>
      </c>
      <c r="C556" s="33" t="inlineStr">
        <is>
          <t>temas.suelo.capacidad_embalses.valor</t>
        </is>
      </c>
      <c r="D556" s="33" t="inlineStr">
        <is>
          <t>(cifra de informe, copiada a la wiki)</t>
        </is>
      </c>
      <c r="E556" s="33" t="inlineStr">
        <is>
          <t>Capacidad total de los embalses.</t>
        </is>
      </c>
      <c r="F556" s="33" t="inlineStr">
        <is>
          <t>Entero</t>
        </is>
      </c>
      <c r="G556" s="33" t="inlineStr">
        <is>
          <t>millones de m³</t>
        </is>
      </c>
      <c r="H556" s="33" t="inlineStr">
        <is>
          <t>586</t>
        </is>
      </c>
      <c r="I556" s="33" t="inlineStr">
        <is>
          <t>No</t>
        </is>
      </c>
      <c r="J556" s="33" t="inlineStr">
        <is>
          <t>valor único (cifra declarada)</t>
        </is>
      </c>
      <c r="K556" s="33" t="inlineStr">
        <is>
          <t>Pública</t>
        </is>
      </c>
      <c r="L556" s="33" t="inlineStr">
        <is>
          <t>Copiada a mano de la wiki del grupo; sello «declarado». Los campos que el lago ya calcula se retiraron (ver conciliacion.json).</t>
        </is>
      </c>
      <c r="M556" s="33" t="inlineStr">
        <is>
          <t>¿Cuánta agua puede almacenar la ciudad? (Wiki 6.7)</t>
        </is>
      </c>
    </row>
    <row r="557" ht="15.75" customHeight="1" s="24">
      <c r="A557" s="33" t="inlineStr">
        <is>
          <t>F15</t>
        </is>
      </c>
      <c r="B557" s="33" t="inlineStr">
        <is>
          <t>public/data/perfil_wiki.json</t>
        </is>
      </c>
      <c r="C557" s="33" t="inlineStr">
        <is>
          <t>temas.suelo.especies_evaluadas.valor</t>
        </is>
      </c>
      <c r="D557" s="33" t="inlineStr">
        <is>
          <t>(cifra de informe, copiada a la wiki)</t>
        </is>
      </c>
      <c r="E557" s="33" t="inlineStr">
        <is>
          <t>Especies evaluadas en el informe de biodiversidad 2025.</t>
        </is>
      </c>
      <c r="F557" s="33" t="inlineStr">
        <is>
          <t>Entero</t>
        </is>
      </c>
      <c r="G557" s="33" t="inlineStr">
        <is>
          <t>especies</t>
        </is>
      </c>
      <c r="H557" s="33" t="inlineStr">
        <is>
          <t>886</t>
        </is>
      </c>
      <c r="I557" s="33" t="inlineStr">
        <is>
          <t>No</t>
        </is>
      </c>
      <c r="J557" s="33" t="inlineStr">
        <is>
          <t>valor único (cifra declarada)</t>
        </is>
      </c>
      <c r="K557" s="33" t="inlineStr">
        <is>
          <t>Pública</t>
        </is>
      </c>
      <c r="L557" s="33" t="inlineStr">
        <is>
          <t>Copiada a mano de la wiki del grupo; sello «declarado». Los campos que el lago ya calcula se retiraron (ver conciliacion.json).</t>
        </is>
      </c>
      <c r="M557" s="33" t="inlineStr">
        <is>
          <t>¿Cuánta biodiversidad se ha evaluado? (Wiki 6.11)</t>
        </is>
      </c>
    </row>
    <row r="558" ht="15.75" customHeight="1" s="24">
      <c r="A558" s="33" t="inlineStr">
        <is>
          <t>F15</t>
        </is>
      </c>
      <c r="B558" s="33" t="inlineStr">
        <is>
          <t>public/data/perfil_wiki.json</t>
        </is>
      </c>
      <c r="C558" s="33" t="inlineStr">
        <is>
          <t>temas.suelo.especies_extintas_localmente.valor</t>
        </is>
      </c>
      <c r="D558" s="33" t="inlineStr">
        <is>
          <t>(cifra de informe, copiada a la wiki)</t>
        </is>
      </c>
      <c r="E558" s="33" t="inlineStr">
        <is>
          <t>Especies evaluadas que ya se extinguieron localmente.</t>
        </is>
      </c>
      <c r="F558" s="33" t="inlineStr">
        <is>
          <t>Entero</t>
        </is>
      </c>
      <c r="G558" s="33" t="inlineStr">
        <is>
          <t>especies</t>
        </is>
      </c>
      <c r="H558" s="33" t="inlineStr">
        <is>
          <t>21</t>
        </is>
      </c>
      <c r="I558" s="33" t="inlineStr">
        <is>
          <t>No</t>
        </is>
      </c>
      <c r="J558" s="33" t="inlineStr">
        <is>
          <t>valor único (cifra declarada)</t>
        </is>
      </c>
      <c r="K558" s="33" t="inlineStr">
        <is>
          <t>Pública</t>
        </is>
      </c>
      <c r="L558" s="33" t="inlineStr">
        <is>
          <t>Copiada a mano de la wiki del grupo; sello «declarado». Los campos que el lago ya calcula se retiraron (ver conciliacion.json).</t>
        </is>
      </c>
      <c r="M558" s="33" t="inlineStr">
        <is>
          <t>¿Cuánta biodiversidad se ha perdido? (Wiki 6.11)</t>
        </is>
      </c>
    </row>
    <row r="559" ht="15.75" customHeight="1" s="24">
      <c r="A559" s="33" t="inlineStr">
        <is>
          <t>F15</t>
        </is>
      </c>
      <c r="B559" s="33" t="inlineStr">
        <is>
          <t>public/data/perfil_wiki.json</t>
        </is>
      </c>
      <c r="C559" s="33" t="inlineStr">
        <is>
          <t>temas.suelo.pct_especies_en_riesgo.valor</t>
        </is>
      </c>
      <c r="D559" s="33" t="inlineStr">
        <is>
          <t>(cifra de informe, copiada a la wiki)</t>
        </is>
      </c>
      <c r="E559" s="33" t="inlineStr">
        <is>
          <t>Porcentaje de especies evaluadas que están en riesgo.</t>
        </is>
      </c>
      <c r="F559" s="33" t="inlineStr">
        <is>
          <t>Entero</t>
        </is>
      </c>
      <c r="G559" s="33" t="inlineStr">
        <is>
          <t>%</t>
        </is>
      </c>
      <c r="H559" s="33" t="inlineStr">
        <is>
          <t>26</t>
        </is>
      </c>
      <c r="I559" s="33" t="inlineStr">
        <is>
          <t>No</t>
        </is>
      </c>
      <c r="J559" s="33" t="inlineStr">
        <is>
          <t>valor único (cifra declarada)</t>
        </is>
      </c>
      <c r="K559" s="33" t="inlineStr">
        <is>
          <t>Pública</t>
        </is>
      </c>
      <c r="L559" s="33" t="inlineStr">
        <is>
          <t>Copiada a mano de la wiki del grupo; sello «declarado». Los campos que el lago ya calcula se retiraron (ver conciliacion.json).</t>
        </is>
      </c>
      <c r="M559" s="33" t="inlineStr">
        <is>
          <t>¿Qué tan amenazada está la naturaleza local? (Wiki 6.11)</t>
        </is>
      </c>
    </row>
    <row r="560" ht="15.75" customHeight="1" s="24">
      <c r="A560" s="33" t="inlineStr">
        <is>
          <t>F01–F15</t>
        </is>
      </c>
      <c r="B560" s="33" t="inlineStr">
        <is>
          <t>public/data/perfil_wiki.json</t>
        </is>
      </c>
      <c r="C560" s="33" t="inlineStr">
        <is>
          <t>temas.{tema}.{campo}.unidad</t>
        </is>
      </c>
      <c r="D560" s="33" t="inlineStr">
        <is>
          <t>(wiki del grupo)</t>
        </is>
      </c>
      <c r="E560" s="33" t="inlineStr">
        <is>
          <t>Unidad de la cifra.</t>
        </is>
      </c>
      <c r="F560" s="33" t="inlineStr">
        <is>
          <t>Texto</t>
        </is>
      </c>
      <c r="G560" s="33" t="inlineStr">
        <is>
          <t>—</t>
        </is>
      </c>
      <c r="H560" s="33" t="inlineStr"/>
      <c r="I560" s="33" t="inlineStr">
        <is>
          <t>No</t>
        </is>
      </c>
      <c r="J560" s="33" t="inlineStr">
        <is>
          <t>texto libre</t>
        </is>
      </c>
      <c r="K560" s="33" t="inlineStr">
        <is>
          <t>Pública</t>
        </is>
      </c>
      <c r="L560" s="33" t="inlineStr">
        <is>
          <t>Copiado de la wiki.</t>
        </is>
      </c>
      <c r="M560" s="33" t="inlineStr">
        <is>
          <t>¿De dónde sale cada cifra declarada?</t>
        </is>
      </c>
    </row>
    <row r="561" ht="15.75" customHeight="1" s="24">
      <c r="A561" s="33" t="inlineStr">
        <is>
          <t>F01–F15</t>
        </is>
      </c>
      <c r="B561" s="33" t="inlineStr">
        <is>
          <t>public/data/perfil_wiki.json</t>
        </is>
      </c>
      <c r="C561" s="33" t="inlineStr">
        <is>
          <t>temas.{tema}.{campo}.que_es</t>
        </is>
      </c>
      <c r="D561" s="33" t="inlineStr">
        <is>
          <t>(wiki del grupo)</t>
        </is>
      </c>
      <c r="E561" s="33" t="inlineStr">
        <is>
          <t>Qué significa la cifra, en una frase.</t>
        </is>
      </c>
      <c r="F561" s="33" t="inlineStr">
        <is>
          <t>Texto</t>
        </is>
      </c>
      <c r="G561" s="33" t="inlineStr">
        <is>
          <t>—</t>
        </is>
      </c>
      <c r="H561" s="33" t="inlineStr"/>
      <c r="I561" s="33" t="inlineStr">
        <is>
          <t>No</t>
        </is>
      </c>
      <c r="J561" s="33" t="inlineStr">
        <is>
          <t>texto libre</t>
        </is>
      </c>
      <c r="K561" s="33" t="inlineStr">
        <is>
          <t>Pública</t>
        </is>
      </c>
      <c r="L561" s="33" t="inlineStr">
        <is>
          <t>Copiado de la wiki.</t>
        </is>
      </c>
      <c r="M561" s="33" t="inlineStr">
        <is>
          <t>¿De dónde sale cada cifra declarada?</t>
        </is>
      </c>
    </row>
    <row r="562" ht="15.75" customHeight="1" s="24">
      <c r="A562" s="33" t="inlineStr">
        <is>
          <t>F01–F15</t>
        </is>
      </c>
      <c r="B562" s="33" t="inlineStr">
        <is>
          <t>public/data/perfil_wiki.json</t>
        </is>
      </c>
      <c r="C562" s="33" t="inlineStr">
        <is>
          <t>temas.{tema}.{campo}.fuente</t>
        </is>
      </c>
      <c r="D562" s="33" t="inlineStr">
        <is>
          <t>(wiki del grupo)</t>
        </is>
      </c>
      <c r="E562" s="33" t="inlineStr">
        <is>
          <t>ID F0x y nombre de la fuente de la cifra.</t>
        </is>
      </c>
      <c r="F562" s="33" t="inlineStr">
        <is>
          <t>Texto</t>
        </is>
      </c>
      <c r="G562" s="33" t="inlineStr">
        <is>
          <t>—</t>
        </is>
      </c>
      <c r="H562" s="33" t="inlineStr"/>
      <c r="I562" s="33" t="inlineStr">
        <is>
          <t>No</t>
        </is>
      </c>
      <c r="J562" s="33" t="inlineStr">
        <is>
          <t>texto libre</t>
        </is>
      </c>
      <c r="K562" s="33" t="inlineStr">
        <is>
          <t>Pública</t>
        </is>
      </c>
      <c r="L562" s="33" t="inlineStr">
        <is>
          <t>Copiado de la wiki.</t>
        </is>
      </c>
      <c r="M562" s="33" t="inlineStr">
        <is>
          <t>¿De dónde sale cada cifra declarada?</t>
        </is>
      </c>
    </row>
    <row r="563" ht="15.75" customHeight="1" s="24">
      <c r="A563" s="33" t="inlineStr">
        <is>
          <t>F01–F15</t>
        </is>
      </c>
      <c r="B563" s="33" t="inlineStr">
        <is>
          <t>public/data/perfil_wiki.json</t>
        </is>
      </c>
      <c r="C563" s="33" t="inlineStr">
        <is>
          <t>temas.{tema}.{campo}.pregunta</t>
        </is>
      </c>
      <c r="D563" s="33" t="inlineStr">
        <is>
          <t>(wiki del grupo)</t>
        </is>
      </c>
      <c r="E563" s="33" t="inlineStr">
        <is>
          <t>Pregunta del sistema que responde.</t>
        </is>
      </c>
      <c r="F563" s="33" t="inlineStr">
        <is>
          <t>Texto</t>
        </is>
      </c>
      <c r="G563" s="33" t="inlineStr">
        <is>
          <t>—</t>
        </is>
      </c>
      <c r="H563" s="33" t="inlineStr"/>
      <c r="I563" s="33" t="inlineStr">
        <is>
          <t>No</t>
        </is>
      </c>
      <c r="J563" s="33" t="inlineStr">
        <is>
          <t>texto libre</t>
        </is>
      </c>
      <c r="K563" s="33" t="inlineStr">
        <is>
          <t>Pública</t>
        </is>
      </c>
      <c r="L563" s="33" t="inlineStr">
        <is>
          <t>Copiado de la wiki.</t>
        </is>
      </c>
      <c r="M563" s="33" t="inlineStr">
        <is>
          <t>¿De dónde sale cada cifra declarada?</t>
        </is>
      </c>
    </row>
    <row r="564" ht="15.75" customHeight="1" s="24">
      <c r="A564" s="33" t="inlineStr">
        <is>
          <t>F01–F15</t>
        </is>
      </c>
      <c r="B564" s="33" t="inlineStr">
        <is>
          <t>public/data/perfil_wiki.json</t>
        </is>
      </c>
      <c r="C564" s="33" t="inlineStr">
        <is>
          <t>meta.origen</t>
        </is>
      </c>
      <c r="D564" s="33" t="inlineStr">
        <is>
          <t>(wiki del grupo)</t>
        </is>
      </c>
      <c r="E564" s="33" t="inlineStr">
        <is>
          <t>Metadato o tabla auxiliar del perfil de la wiki.</t>
        </is>
      </c>
      <c r="F564" s="33" t="inlineStr">
        <is>
          <t>Texto</t>
        </is>
      </c>
      <c r="G564" s="33" t="inlineStr">
        <is>
          <t>—</t>
        </is>
      </c>
      <c r="H564" s="33" t="inlineStr">
        <is>
          <t>Wiki del grupo «Perfil de la ciudad de Hong Kong» (compilada sep. 2026) + hoja F…</t>
        </is>
      </c>
      <c r="I564" s="33" t="inlineStr">
        <is>
          <t>No</t>
        </is>
      </c>
      <c r="J564" s="33" t="inlineStr">
        <is>
          <t>Wiki del grupo «Perfil de la ciudad de Hong Kong» (compilada sep. 2026) + hoja Fuentes F01–F18</t>
        </is>
      </c>
      <c r="K564" s="33" t="inlineStr">
        <is>
          <t>Pública</t>
        </is>
      </c>
      <c r="L564" s="33" t="inlineStr">
        <is>
          <t>Copiado de la wiki.</t>
        </is>
      </c>
      <c r="M564" s="33" t="inlineStr">
        <is>
          <t>¿Qué dice el informe oficial a escala de ciudad?</t>
        </is>
      </c>
    </row>
    <row r="565" ht="15.75" customHeight="1" s="24">
      <c r="A565" s="33" t="inlineStr">
        <is>
          <t>F01–F15</t>
        </is>
      </c>
      <c r="B565" s="33" t="inlineStr">
        <is>
          <t>public/data/perfil_wiki.json</t>
        </is>
      </c>
      <c r="C565" s="33" t="inlineStr">
        <is>
          <t>meta.nota</t>
        </is>
      </c>
      <c r="D565" s="33" t="inlineStr">
        <is>
          <t>(wiki del grupo)</t>
        </is>
      </c>
      <c r="E565" s="33" t="inlineStr">
        <is>
          <t>Metadato o tabla auxiliar del perfil de la wiki.</t>
        </is>
      </c>
      <c r="F565" s="33" t="inlineStr">
        <is>
          <t>Texto</t>
        </is>
      </c>
      <c r="G565" s="33" t="inlineStr">
        <is>
          <t>—</t>
        </is>
      </c>
      <c r="H565" s="33" t="inlineStr">
        <is>
          <t>Cifras agregadas de ciudad; no tienen desagregación por distrito.</t>
        </is>
      </c>
      <c r="I565" s="33" t="inlineStr">
        <is>
          <t>No</t>
        </is>
      </c>
      <c r="J565" s="33" t="inlineStr">
        <is>
          <t>Cifras agregadas de ciudad; no tienen desagregación por distrito.</t>
        </is>
      </c>
      <c r="K565" s="33" t="inlineStr">
        <is>
          <t>Pública</t>
        </is>
      </c>
      <c r="L565" s="33" t="inlineStr">
        <is>
          <t>Copiado de la wiki.</t>
        </is>
      </c>
      <c r="M565" s="33" t="inlineStr">
        <is>
          <t>¿Qué dice el informe oficial a escala de ciudad?</t>
        </is>
      </c>
    </row>
    <row r="566" ht="15.75" customHeight="1" s="24">
      <c r="A566" s="33" t="inlineStr">
        <is>
          <t>F13</t>
        </is>
      </c>
      <c r="B566" s="33" t="inlineStr">
        <is>
          <t>public/data/perfil_wiki.json</t>
        </is>
      </c>
      <c r="C566" s="33" t="inlineStr">
        <is>
          <t>suelo_parques[].puesto</t>
        </is>
      </c>
      <c r="D566" s="33" t="inlineStr">
        <is>
          <t>(wiki del grupo)</t>
        </is>
      </c>
      <c r="E566" s="33" t="inlineStr">
        <is>
          <t>Metadato o tabla auxiliar del perfil de la wiki.</t>
        </is>
      </c>
      <c r="F566" s="33" t="inlineStr">
        <is>
          <t>Entero</t>
        </is>
      </c>
      <c r="G566" s="33" t="inlineStr">
        <is>
          <t>—</t>
        </is>
      </c>
      <c r="H566" s="33" t="inlineStr">
        <is>
          <t>1</t>
        </is>
      </c>
      <c r="I566" s="33" t="inlineStr">
        <is>
          <t>No</t>
        </is>
      </c>
      <c r="J566" s="33" t="inlineStr">
        <is>
          <t>1 a 6</t>
        </is>
      </c>
      <c r="K566" s="33" t="inlineStr">
        <is>
          <t>Pública</t>
        </is>
      </c>
      <c r="L566" s="33" t="inlineStr">
        <is>
          <t>Copiado de la wiki.</t>
        </is>
      </c>
      <c r="M566" s="33" t="inlineStr">
        <is>
          <t>¿Qué dice el informe oficial a escala de ciudad?</t>
        </is>
      </c>
    </row>
    <row r="567" ht="15.75" customHeight="1" s="24">
      <c r="A567" s="33" t="inlineStr">
        <is>
          <t>F13</t>
        </is>
      </c>
      <c r="B567" s="33" t="inlineStr">
        <is>
          <t>public/data/perfil_wiki.json</t>
        </is>
      </c>
      <c r="C567" s="33" t="inlineStr">
        <is>
          <t>suelo_parques[].nombre_parque</t>
        </is>
      </c>
      <c r="D567" s="33" t="inlineStr">
        <is>
          <t>(wiki del grupo)</t>
        </is>
      </c>
      <c r="E567" s="33" t="inlineStr">
        <is>
          <t>Metadato o tabla auxiliar del perfil de la wiki.</t>
        </is>
      </c>
      <c r="F567" s="33" t="inlineStr">
        <is>
          <t>Texto</t>
        </is>
      </c>
      <c r="G567" s="33" t="inlineStr">
        <is>
          <t>—</t>
        </is>
      </c>
      <c r="H567" s="33" t="inlineStr">
        <is>
          <t>Lantau South</t>
        </is>
      </c>
      <c r="I567" s="33" t="inlineStr">
        <is>
          <t>No</t>
        </is>
      </c>
      <c r="J567" s="33" t="inlineStr">
        <is>
          <t>Lantau South; Pat Sin Leng; Plover Cove; Sai Kung East; Sai Kung West; Tai Lam</t>
        </is>
      </c>
      <c r="K567" s="33" t="inlineStr">
        <is>
          <t>Pública</t>
        </is>
      </c>
      <c r="L567" s="33" t="inlineStr">
        <is>
          <t>Copiado de la wiki.</t>
        </is>
      </c>
      <c r="M567" s="33" t="inlineStr">
        <is>
          <t>¿Qué dice el informe oficial a escala de ciudad?</t>
        </is>
      </c>
    </row>
    <row r="568" ht="15.75" customHeight="1" s="24">
      <c r="A568" s="33" t="inlineStr">
        <is>
          <t>F13</t>
        </is>
      </c>
      <c r="B568" s="33" t="inlineStr">
        <is>
          <t>public/data/perfil_wiki.json</t>
        </is>
      </c>
      <c r="C568" s="33" t="inlineStr">
        <is>
          <t>suelo_parques[].area_ha</t>
        </is>
      </c>
      <c r="D568" s="33" t="inlineStr">
        <is>
          <t>(wiki del grupo)</t>
        </is>
      </c>
      <c r="E568" s="33" t="inlineStr">
        <is>
          <t>Metadato o tabla auxiliar del perfil de la wiki.</t>
        </is>
      </c>
      <c r="F568" s="33" t="inlineStr">
        <is>
          <t>Entero</t>
        </is>
      </c>
      <c r="G568" s="33" t="inlineStr">
        <is>
          <t>—</t>
        </is>
      </c>
      <c r="H568" s="33" t="inlineStr">
        <is>
          <t>5646</t>
        </is>
      </c>
      <c r="I568" s="33" t="inlineStr">
        <is>
          <t>No</t>
        </is>
      </c>
      <c r="J568" s="33" t="inlineStr">
        <is>
          <t>3.000 a 5.646</t>
        </is>
      </c>
      <c r="K568" s="33" t="inlineStr">
        <is>
          <t>Pública</t>
        </is>
      </c>
      <c r="L568" s="33" t="inlineStr">
        <is>
          <t>Copiado de la wiki.</t>
        </is>
      </c>
      <c r="M568" s="33" t="inlineStr">
        <is>
          <t>¿Qué dice el informe oficial a escala de ciudad?</t>
        </is>
      </c>
    </row>
    <row r="569" ht="15.75" customHeight="1" s="24">
      <c r="A569" s="33" t="inlineStr">
        <is>
          <t>F01–F15</t>
        </is>
      </c>
      <c r="B569" s="33" t="inlineStr">
        <is>
          <t>public/data/perfil_wiki.json</t>
        </is>
      </c>
      <c r="C569" s="33" t="inlineStr">
        <is>
          <t>fuentes.F01.nombre</t>
        </is>
      </c>
      <c r="D569" s="33" t="inlineStr">
        <is>
          <t>(wiki del grupo)</t>
        </is>
      </c>
      <c r="E569" s="33" t="inlineStr">
        <is>
          <t>Metadato o tabla auxiliar del perfil de la wiki.</t>
        </is>
      </c>
      <c r="F569" s="33" t="inlineStr">
        <is>
          <t>Texto</t>
        </is>
      </c>
      <c r="G569" s="33" t="inlineStr">
        <is>
          <t>—</t>
        </is>
      </c>
      <c r="H569" s="33" t="inlineStr">
        <is>
          <t>Estimación de población a mediados de 2026</t>
        </is>
      </c>
      <c r="I569" s="33" t="inlineStr">
        <is>
          <t>No</t>
        </is>
      </c>
      <c r="J569" s="33" t="inlineStr">
        <is>
          <t>Estimación de población a mediados de 2026</t>
        </is>
      </c>
      <c r="K569" s="33" t="inlineStr">
        <is>
          <t>Pública</t>
        </is>
      </c>
      <c r="L569" s="33" t="inlineStr">
        <is>
          <t>Copiado de la wiki.</t>
        </is>
      </c>
      <c r="M569" s="33" t="inlineStr">
        <is>
          <t>¿Qué dice el informe oficial a escala de ciudad?</t>
        </is>
      </c>
    </row>
    <row r="570" ht="15.75" customHeight="1" s="24">
      <c r="A570" s="33" t="inlineStr">
        <is>
          <t>F01–F15</t>
        </is>
      </c>
      <c r="B570" s="33" t="inlineStr">
        <is>
          <t>public/data/perfil_wiki.json</t>
        </is>
      </c>
      <c r="C570" s="33" t="inlineStr">
        <is>
          <t>fuentes.F01.entidad</t>
        </is>
      </c>
      <c r="D570" s="33" t="inlineStr">
        <is>
          <t>(wiki del grupo)</t>
        </is>
      </c>
      <c r="E570" s="33" t="inlineStr">
        <is>
          <t>Metadato o tabla auxiliar del perfil de la wiki.</t>
        </is>
      </c>
      <c r="F570" s="33" t="inlineStr">
        <is>
          <t>Texto</t>
        </is>
      </c>
      <c r="G570" s="33" t="inlineStr">
        <is>
          <t>—</t>
        </is>
      </c>
      <c r="H570" s="33" t="inlineStr">
        <is>
          <t>Census and Statistics Department (C&amp;SD)</t>
        </is>
      </c>
      <c r="I570" s="33" t="inlineStr">
        <is>
          <t>No</t>
        </is>
      </c>
      <c r="J570" s="33" t="inlineStr">
        <is>
          <t>Census and Statistics Department (C&amp;SD)</t>
        </is>
      </c>
      <c r="K570" s="33" t="inlineStr">
        <is>
          <t>Pública</t>
        </is>
      </c>
      <c r="L570" s="33" t="inlineStr">
        <is>
          <t>Copiado de la wiki.</t>
        </is>
      </c>
      <c r="M570" s="33" t="inlineStr">
        <is>
          <t>¿Qué dice el informe oficial a escala de ciudad?</t>
        </is>
      </c>
    </row>
    <row r="571" ht="15.75" customHeight="1" s="24">
      <c r="A571" s="33" t="inlineStr">
        <is>
          <t>F01–F15</t>
        </is>
      </c>
      <c r="B571" s="33" t="inlineStr">
        <is>
          <t>public/data/perfil_wiki.json</t>
        </is>
      </c>
      <c r="C571" s="33" t="inlineStr">
        <is>
          <t>fuentes.F01.url</t>
        </is>
      </c>
      <c r="D571" s="33" t="inlineStr">
        <is>
          <t>(wiki del grupo)</t>
        </is>
      </c>
      <c r="E571" s="33" t="inlineStr">
        <is>
          <t>Metadato o tabla auxiliar del perfil de la wiki.</t>
        </is>
      </c>
      <c r="F571" s="33" t="inlineStr">
        <is>
          <t>Texto</t>
        </is>
      </c>
      <c r="G571" s="33" t="inlineStr">
        <is>
          <t>—</t>
        </is>
      </c>
      <c r="H571" s="33" t="inlineStr">
        <is>
          <t>https://www.censtatd.gov.hk/en/scode150.html</t>
        </is>
      </c>
      <c r="I571" s="33" t="inlineStr">
        <is>
          <t>No</t>
        </is>
      </c>
      <c r="J571" s="33" t="inlineStr">
        <is>
          <t>https://www.censtatd.gov.hk/en/scode150.html</t>
        </is>
      </c>
      <c r="K571" s="33" t="inlineStr">
        <is>
          <t>Pública</t>
        </is>
      </c>
      <c r="L571" s="33" t="inlineStr">
        <is>
          <t>Copiado de la wiki.</t>
        </is>
      </c>
      <c r="M571" s="33" t="inlineStr">
        <is>
          <t>¿Qué dice el informe oficial a escala de ciudad?</t>
        </is>
      </c>
    </row>
    <row r="572" ht="15.75" customHeight="1" s="24">
      <c r="A572" s="33" t="inlineStr">
        <is>
          <t>F01–F15</t>
        </is>
      </c>
      <c r="B572" s="33" t="inlineStr">
        <is>
          <t>public/data/perfil_wiki.json</t>
        </is>
      </c>
      <c r="C572" s="33" t="inlineStr">
        <is>
          <t>fuentes.F01.estado</t>
        </is>
      </c>
      <c r="D572" s="33" t="inlineStr">
        <is>
          <t>(wiki del grupo)</t>
        </is>
      </c>
      <c r="E572" s="33" t="inlineStr">
        <is>
          <t>Metadato o tabla auxiliar del perfil de la wiki.</t>
        </is>
      </c>
      <c r="F572" s="33" t="inlineStr">
        <is>
          <t>Texto</t>
        </is>
      </c>
      <c r="G572" s="33" t="inlineStr">
        <is>
          <t>—</t>
        </is>
      </c>
      <c r="H572" s="33" t="inlineStr">
        <is>
          <t>Integrada al lago</t>
        </is>
      </c>
      <c r="I572" s="33" t="inlineStr">
        <is>
          <t>No</t>
        </is>
      </c>
      <c r="J572" s="33" t="inlineStr">
        <is>
          <t>Integrada al lago</t>
        </is>
      </c>
      <c r="K572" s="33" t="inlineStr">
        <is>
          <t>Pública</t>
        </is>
      </c>
      <c r="L572" s="33" t="inlineStr">
        <is>
          <t>Copiado de la wiki.</t>
        </is>
      </c>
      <c r="M572" s="33" t="inlineStr">
        <is>
          <t>¿Qué dice el informe oficial a escala de ciudad?</t>
        </is>
      </c>
    </row>
    <row r="573" ht="15.75" customHeight="1" s="24">
      <c r="A573" s="33" t="inlineStr">
        <is>
          <t>F01–F15</t>
        </is>
      </c>
      <c r="B573" s="33" t="inlineStr">
        <is>
          <t>public/data/perfil_wiki.json</t>
        </is>
      </c>
      <c r="C573" s="33" t="inlineStr">
        <is>
          <t>fuentes.F02.nombre</t>
        </is>
      </c>
      <c r="D573" s="33" t="inlineStr">
        <is>
          <t>(wiki del grupo)</t>
        </is>
      </c>
      <c r="E573" s="33" t="inlineStr">
        <is>
          <t>Metadato o tabla auxiliar del perfil de la wiki.</t>
        </is>
      </c>
      <c r="F573" s="33" t="inlineStr">
        <is>
          <t>Texto</t>
        </is>
      </c>
      <c r="G573" s="33" t="inlineStr">
        <is>
          <t>—</t>
        </is>
      </c>
      <c r="H573" s="33" t="inlineStr">
        <is>
          <t>Proyecciones de población 2022–2046</t>
        </is>
      </c>
      <c r="I573" s="33" t="inlineStr">
        <is>
          <t>No</t>
        </is>
      </c>
      <c r="J573" s="33" t="inlineStr">
        <is>
          <t>Proyecciones de población 2022–2046</t>
        </is>
      </c>
      <c r="K573" s="33" t="inlineStr">
        <is>
          <t>Pública</t>
        </is>
      </c>
      <c r="L573" s="33" t="inlineStr">
        <is>
          <t>Copiado de la wiki.</t>
        </is>
      </c>
      <c r="M573" s="33" t="inlineStr">
        <is>
          <t>¿Qué dice el informe oficial a escala de ciudad?</t>
        </is>
      </c>
    </row>
    <row r="574" ht="15.75" customHeight="1" s="24">
      <c r="A574" s="33" t="inlineStr">
        <is>
          <t>F01–F15</t>
        </is>
      </c>
      <c r="B574" s="33" t="inlineStr">
        <is>
          <t>public/data/perfil_wiki.json</t>
        </is>
      </c>
      <c r="C574" s="33" t="inlineStr">
        <is>
          <t>fuentes.F02.entidad</t>
        </is>
      </c>
      <c r="D574" s="33" t="inlineStr">
        <is>
          <t>(wiki del grupo)</t>
        </is>
      </c>
      <c r="E574" s="33" t="inlineStr">
        <is>
          <t>Metadato o tabla auxiliar del perfil de la wiki.</t>
        </is>
      </c>
      <c r="F574" s="33" t="inlineStr">
        <is>
          <t>Texto</t>
        </is>
      </c>
      <c r="G574" s="33" t="inlineStr">
        <is>
          <t>—</t>
        </is>
      </c>
      <c r="H574" s="33" t="inlineStr">
        <is>
          <t>Census and Statistics Department (C&amp;SD)</t>
        </is>
      </c>
      <c r="I574" s="33" t="inlineStr">
        <is>
          <t>No</t>
        </is>
      </c>
      <c r="J574" s="33" t="inlineStr">
        <is>
          <t>Census and Statistics Department (C&amp;SD)</t>
        </is>
      </c>
      <c r="K574" s="33" t="inlineStr">
        <is>
          <t>Pública</t>
        </is>
      </c>
      <c r="L574" s="33" t="inlineStr">
        <is>
          <t>Copiado de la wiki.</t>
        </is>
      </c>
      <c r="M574" s="33" t="inlineStr">
        <is>
          <t>¿Qué dice el informe oficial a escala de ciudad?</t>
        </is>
      </c>
    </row>
    <row r="575" ht="15.75" customHeight="1" s="24">
      <c r="A575" s="33" t="inlineStr">
        <is>
          <t>F01–F15</t>
        </is>
      </c>
      <c r="B575" s="33" t="inlineStr">
        <is>
          <t>public/data/perfil_wiki.json</t>
        </is>
      </c>
      <c r="C575" s="33" t="inlineStr">
        <is>
          <t>fuentes.F02.url</t>
        </is>
      </c>
      <c r="D575" s="33" t="inlineStr">
        <is>
          <t>(wiki del grupo)</t>
        </is>
      </c>
      <c r="E575" s="33" t="inlineStr">
        <is>
          <t>Metadato o tabla auxiliar del perfil de la wiki.</t>
        </is>
      </c>
      <c r="F575" s="33" t="inlineStr">
        <is>
          <t>Texto</t>
        </is>
      </c>
      <c r="G575" s="33" t="inlineStr">
        <is>
          <t>—</t>
        </is>
      </c>
      <c r="H575" s="33" t="inlineStr">
        <is>
          <t>https://www.censtatd.gov.hk/en/EIndexbySubject.html?pcode=B1120015&amp;scode=190</t>
        </is>
      </c>
      <c r="I575" s="33" t="inlineStr">
        <is>
          <t>No</t>
        </is>
      </c>
      <c r="J575" s="33" t="inlineStr">
        <is>
          <t>https://www.censtatd.gov.hk/en/EIndexbySubject.html?pcode=B1120015&amp;scode=190</t>
        </is>
      </c>
      <c r="K575" s="33" t="inlineStr">
        <is>
          <t>Pública</t>
        </is>
      </c>
      <c r="L575" s="33" t="inlineStr">
        <is>
          <t>Copiado de la wiki.</t>
        </is>
      </c>
      <c r="M575" s="33" t="inlineStr">
        <is>
          <t>¿Qué dice el informe oficial a escala de ciudad?</t>
        </is>
      </c>
    </row>
    <row r="576" ht="15.75" customHeight="1" s="24">
      <c r="A576" s="33" t="inlineStr">
        <is>
          <t>F01–F15</t>
        </is>
      </c>
      <c r="B576" s="33" t="inlineStr">
        <is>
          <t>public/data/perfil_wiki.json</t>
        </is>
      </c>
      <c r="C576" s="33" t="inlineStr">
        <is>
          <t>fuentes.F02.estado</t>
        </is>
      </c>
      <c r="D576" s="33" t="inlineStr">
        <is>
          <t>(wiki del grupo)</t>
        </is>
      </c>
      <c r="E576" s="33" t="inlineStr">
        <is>
          <t>Metadato o tabla auxiliar del perfil de la wiki.</t>
        </is>
      </c>
      <c r="F576" s="33" t="inlineStr">
        <is>
          <t>Texto</t>
        </is>
      </c>
      <c r="G576" s="33" t="inlineStr">
        <is>
          <t>—</t>
        </is>
      </c>
      <c r="H576" s="33" t="inlineStr">
        <is>
          <t>Integrada al lago</t>
        </is>
      </c>
      <c r="I576" s="33" t="inlineStr">
        <is>
          <t>No</t>
        </is>
      </c>
      <c r="J576" s="33" t="inlineStr">
        <is>
          <t>Integrada al lago</t>
        </is>
      </c>
      <c r="K576" s="33" t="inlineStr">
        <is>
          <t>Pública</t>
        </is>
      </c>
      <c r="L576" s="33" t="inlineStr">
        <is>
          <t>Copiado de la wiki.</t>
        </is>
      </c>
      <c r="M576" s="33" t="inlineStr">
        <is>
          <t>¿Qué dice el informe oficial a escala de ciudad?</t>
        </is>
      </c>
    </row>
    <row r="577" ht="15.75" customHeight="1" s="24">
      <c r="A577" s="33" t="inlineStr">
        <is>
          <t>F01–F15</t>
        </is>
      </c>
      <c r="B577" s="33" t="inlineStr">
        <is>
          <t>public/data/perfil_wiki.json</t>
        </is>
      </c>
      <c r="C577" s="33" t="inlineStr">
        <is>
          <t>fuentes.F03.nombre</t>
        </is>
      </c>
      <c r="D577" s="33" t="inlineStr">
        <is>
          <t>(wiki del grupo)</t>
        </is>
      </c>
      <c r="E577" s="33" t="inlineStr">
        <is>
          <t>Metadato o tabla auxiliar del perfil de la wiki.</t>
        </is>
      </c>
      <c r="F577" s="33" t="inlineStr">
        <is>
          <t>Texto</t>
        </is>
      </c>
      <c r="G577" s="33" t="inlineStr">
        <is>
          <t>—</t>
        </is>
      </c>
      <c r="H577" s="33" t="inlineStr">
        <is>
          <t>Características educativas de la población (Censo 2021)</t>
        </is>
      </c>
      <c r="I577" s="33" t="inlineStr">
        <is>
          <t>No</t>
        </is>
      </c>
      <c r="J577" s="33" t="inlineStr">
        <is>
          <t>Características educativas de la población (Censo 2021)</t>
        </is>
      </c>
      <c r="K577" s="33" t="inlineStr">
        <is>
          <t>Pública</t>
        </is>
      </c>
      <c r="L577" s="33" t="inlineStr">
        <is>
          <t>Copiado de la wiki.</t>
        </is>
      </c>
      <c r="M577" s="33" t="inlineStr">
        <is>
          <t>¿Qué dice el informe oficial a escala de ciudad?</t>
        </is>
      </c>
    </row>
    <row r="578" ht="15.75" customHeight="1" s="24">
      <c r="A578" s="33" t="inlineStr">
        <is>
          <t>F01–F15</t>
        </is>
      </c>
      <c r="B578" s="33" t="inlineStr">
        <is>
          <t>public/data/perfil_wiki.json</t>
        </is>
      </c>
      <c r="C578" s="33" t="inlineStr">
        <is>
          <t>fuentes.F03.entidad</t>
        </is>
      </c>
      <c r="D578" s="33" t="inlineStr">
        <is>
          <t>(wiki del grupo)</t>
        </is>
      </c>
      <c r="E578" s="33" t="inlineStr">
        <is>
          <t>Metadato o tabla auxiliar del perfil de la wiki.</t>
        </is>
      </c>
      <c r="F578" s="33" t="inlineStr">
        <is>
          <t>Texto</t>
        </is>
      </c>
      <c r="G578" s="33" t="inlineStr">
        <is>
          <t>—</t>
        </is>
      </c>
      <c r="H578" s="33" t="inlineStr">
        <is>
          <t>Census and Statistics Department (C&amp;SD)</t>
        </is>
      </c>
      <c r="I578" s="33" t="inlineStr">
        <is>
          <t>No</t>
        </is>
      </c>
      <c r="J578" s="33" t="inlineStr">
        <is>
          <t>Census and Statistics Department (C&amp;SD)</t>
        </is>
      </c>
      <c r="K578" s="33" t="inlineStr">
        <is>
          <t>Pública</t>
        </is>
      </c>
      <c r="L578" s="33" t="inlineStr">
        <is>
          <t>Copiado de la wiki.</t>
        </is>
      </c>
      <c r="M578" s="33" t="inlineStr">
        <is>
          <t>¿Qué dice el informe oficial a escala de ciudad?</t>
        </is>
      </c>
    </row>
    <row r="579" ht="15.75" customHeight="1" s="24">
      <c r="A579" s="33" t="inlineStr">
        <is>
          <t>F01–F15</t>
        </is>
      </c>
      <c r="B579" s="33" t="inlineStr">
        <is>
          <t>public/data/perfil_wiki.json</t>
        </is>
      </c>
      <c r="C579" s="33" t="inlineStr">
        <is>
          <t>fuentes.F03.url</t>
        </is>
      </c>
      <c r="D579" s="33" t="inlineStr">
        <is>
          <t>(wiki del grupo)</t>
        </is>
      </c>
      <c r="E579" s="33" t="inlineStr">
        <is>
          <t>Metadato o tabla auxiliar del perfil de la wiki.</t>
        </is>
      </c>
      <c r="F579" s="33" t="inlineStr">
        <is>
          <t>Texto</t>
        </is>
      </c>
      <c r="G579" s="33" t="inlineStr">
        <is>
          <t>—</t>
        </is>
      </c>
      <c r="H579" s="33" t="inlineStr">
        <is>
          <t>https://www.census2021.gov.hk/doc/pub/21C_Articles_Educational.pdf</t>
        </is>
      </c>
      <c r="I579" s="33" t="inlineStr">
        <is>
          <t>No</t>
        </is>
      </c>
      <c r="J579" s="33" t="inlineStr">
        <is>
          <t>https://www.census2021.gov.hk/doc/pub/21C_Articles_Educational.pdf</t>
        </is>
      </c>
      <c r="K579" s="33" t="inlineStr">
        <is>
          <t>Pública</t>
        </is>
      </c>
      <c r="L579" s="33" t="inlineStr">
        <is>
          <t>Copiado de la wiki.</t>
        </is>
      </c>
      <c r="M579" s="33" t="inlineStr">
        <is>
          <t>¿Qué dice el informe oficial a escala de ciudad?</t>
        </is>
      </c>
    </row>
    <row r="580" ht="15.75" customHeight="1" s="24">
      <c r="A580" s="33" t="inlineStr">
        <is>
          <t>F01–F15</t>
        </is>
      </c>
      <c r="B580" s="33" t="inlineStr">
        <is>
          <t>public/data/perfil_wiki.json</t>
        </is>
      </c>
      <c r="C580" s="33" t="inlineStr">
        <is>
          <t>fuentes.F03.estado</t>
        </is>
      </c>
      <c r="D580" s="33" t="inlineStr">
        <is>
          <t>(wiki del grupo)</t>
        </is>
      </c>
      <c r="E580" s="33" t="inlineStr">
        <is>
          <t>Metadato o tabla auxiliar del perfil de la wiki.</t>
        </is>
      </c>
      <c r="F580" s="33" t="inlineStr">
        <is>
          <t>Texto</t>
        </is>
      </c>
      <c r="G580" s="33" t="inlineStr">
        <is>
          <t>—</t>
        </is>
      </c>
      <c r="H580" s="33" t="inlineStr">
        <is>
          <t>Integrada al lago</t>
        </is>
      </c>
      <c r="I580" s="33" t="inlineStr">
        <is>
          <t>No</t>
        </is>
      </c>
      <c r="J580" s="33" t="inlineStr">
        <is>
          <t>Integrada al lago</t>
        </is>
      </c>
      <c r="K580" s="33" t="inlineStr">
        <is>
          <t>Pública</t>
        </is>
      </c>
      <c r="L580" s="33" t="inlineStr">
        <is>
          <t>Copiado de la wiki.</t>
        </is>
      </c>
      <c r="M580" s="33" t="inlineStr">
        <is>
          <t>¿Qué dice el informe oficial a escala de ciudad?</t>
        </is>
      </c>
    </row>
    <row r="581" ht="15.75" customHeight="1" s="24">
      <c r="A581" s="33" t="inlineStr">
        <is>
          <t>F01–F15</t>
        </is>
      </c>
      <c r="B581" s="33" t="inlineStr">
        <is>
          <t>public/data/perfil_wiki.json</t>
        </is>
      </c>
      <c r="C581" s="33" t="inlineStr">
        <is>
          <t>fuentes.F04.nombre</t>
        </is>
      </c>
      <c r="D581" s="33" t="inlineStr">
        <is>
          <t>(wiki del grupo)</t>
        </is>
      </c>
      <c r="E581" s="33" t="inlineStr">
        <is>
          <t>Metadato o tabla auxiliar del perfil de la wiki.</t>
        </is>
      </c>
      <c r="F581" s="33" t="inlineStr">
        <is>
          <t>Texto</t>
        </is>
      </c>
      <c r="G581" s="33" t="inlineStr">
        <is>
          <t>—</t>
        </is>
      </c>
      <c r="H581" s="33" t="inlineStr">
        <is>
          <t>Tasa bruta de natalidad y mortalidad 1981–2025</t>
        </is>
      </c>
      <c r="I581" s="33" t="inlineStr">
        <is>
          <t>No</t>
        </is>
      </c>
      <c r="J581" s="33" t="inlineStr">
        <is>
          <t>Tasa bruta de natalidad y mortalidad 1981–2025</t>
        </is>
      </c>
      <c r="K581" s="33" t="inlineStr">
        <is>
          <t>Pública</t>
        </is>
      </c>
      <c r="L581" s="33" t="inlineStr">
        <is>
          <t>Copiado de la wiki.</t>
        </is>
      </c>
      <c r="M581" s="33" t="inlineStr">
        <is>
          <t>¿Qué dice el informe oficial a escala de ciudad?</t>
        </is>
      </c>
    </row>
    <row r="582" ht="15.75" customHeight="1" s="24">
      <c r="A582" s="33" t="inlineStr">
        <is>
          <t>F01–F15</t>
        </is>
      </c>
      <c r="B582" s="33" t="inlineStr">
        <is>
          <t>public/data/perfil_wiki.json</t>
        </is>
      </c>
      <c r="C582" s="33" t="inlineStr">
        <is>
          <t>fuentes.F04.entidad</t>
        </is>
      </c>
      <c r="D582" s="33" t="inlineStr">
        <is>
          <t>(wiki del grupo)</t>
        </is>
      </c>
      <c r="E582" s="33" t="inlineStr">
        <is>
          <t>Metadato o tabla auxiliar del perfil de la wiki.</t>
        </is>
      </c>
      <c r="F582" s="33" t="inlineStr">
        <is>
          <t>Texto</t>
        </is>
      </c>
      <c r="G582" s="33" t="inlineStr">
        <is>
          <t>—</t>
        </is>
      </c>
      <c r="H582" s="33" t="inlineStr">
        <is>
          <t>Centre for Health Protection, Department of Health</t>
        </is>
      </c>
      <c r="I582" s="33" t="inlineStr">
        <is>
          <t>No</t>
        </is>
      </c>
      <c r="J582" s="33" t="inlineStr">
        <is>
          <t>Centre for Health Protection, Department of Health</t>
        </is>
      </c>
      <c r="K582" s="33" t="inlineStr">
        <is>
          <t>Pública</t>
        </is>
      </c>
      <c r="L582" s="33" t="inlineStr">
        <is>
          <t>Copiado de la wiki.</t>
        </is>
      </c>
      <c r="M582" s="33" t="inlineStr">
        <is>
          <t>¿Qué dice el informe oficial a escala de ciudad?</t>
        </is>
      </c>
    </row>
    <row r="583" ht="15.75" customHeight="1" s="24">
      <c r="A583" s="33" t="inlineStr">
        <is>
          <t>F01–F15</t>
        </is>
      </c>
      <c r="B583" s="33" t="inlineStr">
        <is>
          <t>public/data/perfil_wiki.json</t>
        </is>
      </c>
      <c r="C583" s="33" t="inlineStr">
        <is>
          <t>fuentes.F04.url</t>
        </is>
      </c>
      <c r="D583" s="33" t="inlineStr">
        <is>
          <t>(wiki del grupo)</t>
        </is>
      </c>
      <c r="E583" s="33" t="inlineStr">
        <is>
          <t>Metadato o tabla auxiliar del perfil de la wiki.</t>
        </is>
      </c>
      <c r="F583" s="33" t="inlineStr">
        <is>
          <t>Texto</t>
        </is>
      </c>
      <c r="G583" s="33" t="inlineStr">
        <is>
          <t>—</t>
        </is>
      </c>
      <c r="H583" s="33" t="inlineStr">
        <is>
          <t>https://www.chp.gov.hk/en/statistics/data/10/27/112.html</t>
        </is>
      </c>
      <c r="I583" s="33" t="inlineStr">
        <is>
          <t>No</t>
        </is>
      </c>
      <c r="J583" s="33" t="inlineStr">
        <is>
          <t>https://www.chp.gov.hk/en/statistics/data/10/27/112.html</t>
        </is>
      </c>
      <c r="K583" s="33" t="inlineStr">
        <is>
          <t>Pública</t>
        </is>
      </c>
      <c r="L583" s="33" t="inlineStr">
        <is>
          <t>Copiado de la wiki.</t>
        </is>
      </c>
      <c r="M583" s="33" t="inlineStr">
        <is>
          <t>¿Qué dice el informe oficial a escala de ciudad?</t>
        </is>
      </c>
    </row>
    <row r="584" ht="15.75" customHeight="1" s="24">
      <c r="A584" s="33" t="inlineStr">
        <is>
          <t>F01–F15</t>
        </is>
      </c>
      <c r="B584" s="33" t="inlineStr">
        <is>
          <t>public/data/perfil_wiki.json</t>
        </is>
      </c>
      <c r="C584" s="33" t="inlineStr">
        <is>
          <t>fuentes.F04.estado</t>
        </is>
      </c>
      <c r="D584" s="33" t="inlineStr">
        <is>
          <t>(wiki del grupo)</t>
        </is>
      </c>
      <c r="E584" s="33" t="inlineStr">
        <is>
          <t>Metadato o tabla auxiliar del perfil de la wiki.</t>
        </is>
      </c>
      <c r="F584" s="33" t="inlineStr">
        <is>
          <t>Texto</t>
        </is>
      </c>
      <c r="G584" s="33" t="inlineStr">
        <is>
          <t>—</t>
        </is>
      </c>
      <c r="H584" s="33" t="inlineStr">
        <is>
          <t>Integrada al lago</t>
        </is>
      </c>
      <c r="I584" s="33" t="inlineStr">
        <is>
          <t>No</t>
        </is>
      </c>
      <c r="J584" s="33" t="inlineStr">
        <is>
          <t>Integrada al lago</t>
        </is>
      </c>
      <c r="K584" s="33" t="inlineStr">
        <is>
          <t>Pública</t>
        </is>
      </c>
      <c r="L584" s="33" t="inlineStr">
        <is>
          <t>Copiado de la wiki.</t>
        </is>
      </c>
      <c r="M584" s="33" t="inlineStr">
        <is>
          <t>¿Qué dice el informe oficial a escala de ciudad?</t>
        </is>
      </c>
    </row>
    <row r="585" ht="15.75" customHeight="1" s="24">
      <c r="A585" s="33" t="inlineStr">
        <is>
          <t>F01–F15</t>
        </is>
      </c>
      <c r="B585" s="33" t="inlineStr">
        <is>
          <t>public/data/perfil_wiki.json</t>
        </is>
      </c>
      <c r="C585" s="33" t="inlineStr">
        <is>
          <t>fuentes.F05.nombre</t>
        </is>
      </c>
      <c r="D585" s="33" t="inlineStr">
        <is>
          <t>(wiki del grupo)</t>
        </is>
      </c>
      <c r="E585" s="33" t="inlineStr">
        <is>
          <t>Metadato o tabla auxiliar del perfil de la wiki.</t>
        </is>
      </c>
      <c r="F585" s="33" t="inlineStr">
        <is>
          <t>Texto</t>
        </is>
      </c>
      <c r="G585" s="33" t="inlineStr">
        <is>
          <t>—</t>
        </is>
      </c>
      <c r="H585" s="33" t="inlineStr">
        <is>
          <t>Hong Kong Property Review 2026</t>
        </is>
      </c>
      <c r="I585" s="33" t="inlineStr">
        <is>
          <t>No</t>
        </is>
      </c>
      <c r="J585" s="33" t="inlineStr">
        <is>
          <t>Hong Kong Property Review 2026</t>
        </is>
      </c>
      <c r="K585" s="33" t="inlineStr">
        <is>
          <t>Pública</t>
        </is>
      </c>
      <c r="L585" s="33" t="inlineStr">
        <is>
          <t>Copiado de la wiki.</t>
        </is>
      </c>
      <c r="M585" s="33" t="inlineStr">
        <is>
          <t>¿Qué dice el informe oficial a escala de ciudad?</t>
        </is>
      </c>
    </row>
    <row r="586" ht="15.75" customHeight="1" s="24">
      <c r="A586" s="33" t="inlineStr">
        <is>
          <t>F01–F15</t>
        </is>
      </c>
      <c r="B586" s="33" t="inlineStr">
        <is>
          <t>public/data/perfil_wiki.json</t>
        </is>
      </c>
      <c r="C586" s="33" t="inlineStr">
        <is>
          <t>fuentes.F05.entidad</t>
        </is>
      </c>
      <c r="D586" s="33" t="inlineStr">
        <is>
          <t>(wiki del grupo)</t>
        </is>
      </c>
      <c r="E586" s="33" t="inlineStr">
        <is>
          <t>Metadato o tabla auxiliar del perfil de la wiki.</t>
        </is>
      </c>
      <c r="F586" s="33" t="inlineStr">
        <is>
          <t>Texto</t>
        </is>
      </c>
      <c r="G586" s="33" t="inlineStr">
        <is>
          <t>—</t>
        </is>
      </c>
      <c r="H586" s="33" t="inlineStr">
        <is>
          <t>Rating and Valuation Department (RVD)</t>
        </is>
      </c>
      <c r="I586" s="33" t="inlineStr">
        <is>
          <t>No</t>
        </is>
      </c>
      <c r="J586" s="33" t="inlineStr">
        <is>
          <t>Rating and Valuation Department (RVD)</t>
        </is>
      </c>
      <c r="K586" s="33" t="inlineStr">
        <is>
          <t>Pública</t>
        </is>
      </c>
      <c r="L586" s="33" t="inlineStr">
        <is>
          <t>Copiado de la wiki.</t>
        </is>
      </c>
      <c r="M586" s="33" t="inlineStr">
        <is>
          <t>¿Qué dice el informe oficial a escala de ciudad?</t>
        </is>
      </c>
    </row>
    <row r="587" ht="15.75" customHeight="1" s="24">
      <c r="A587" s="33" t="inlineStr">
        <is>
          <t>F01–F15</t>
        </is>
      </c>
      <c r="B587" s="33" t="inlineStr">
        <is>
          <t>public/data/perfil_wiki.json</t>
        </is>
      </c>
      <c r="C587" s="33" t="inlineStr">
        <is>
          <t>fuentes.F05.url</t>
        </is>
      </c>
      <c r="D587" s="33" t="inlineStr">
        <is>
          <t>(wiki del grupo)</t>
        </is>
      </c>
      <c r="E587" s="33" t="inlineStr">
        <is>
          <t>Metadato o tabla auxiliar del perfil de la wiki.</t>
        </is>
      </c>
      <c r="F587" s="33" t="inlineStr">
        <is>
          <t>Texto</t>
        </is>
      </c>
      <c r="G587" s="33" t="inlineStr">
        <is>
          <t>—</t>
        </is>
      </c>
      <c r="H587" s="33" t="inlineStr">
        <is>
          <t>https://www.rvd.gov.hk/en/publications/property_market_statistics.html</t>
        </is>
      </c>
      <c r="I587" s="33" t="inlineStr">
        <is>
          <t>No</t>
        </is>
      </c>
      <c r="J587" s="33" t="inlineStr">
        <is>
          <t>https://www.rvd.gov.hk/en/publications/property_market_statistics.html</t>
        </is>
      </c>
      <c r="K587" s="33" t="inlineStr">
        <is>
          <t>Pública</t>
        </is>
      </c>
      <c r="L587" s="33" t="inlineStr">
        <is>
          <t>Copiado de la wiki.</t>
        </is>
      </c>
      <c r="M587" s="33" t="inlineStr">
        <is>
          <t>¿Qué dice el informe oficial a escala de ciudad?</t>
        </is>
      </c>
    </row>
    <row r="588" ht="15.75" customHeight="1" s="24">
      <c r="A588" s="33" t="inlineStr">
        <is>
          <t>F01–F15</t>
        </is>
      </c>
      <c r="B588" s="33" t="inlineStr">
        <is>
          <t>public/data/perfil_wiki.json</t>
        </is>
      </c>
      <c r="C588" s="33" t="inlineStr">
        <is>
          <t>fuentes.F05.estado</t>
        </is>
      </c>
      <c r="D588" s="33" t="inlineStr">
        <is>
          <t>(wiki del grupo)</t>
        </is>
      </c>
      <c r="E588" s="33" t="inlineStr">
        <is>
          <t>Metadato o tabla auxiliar del perfil de la wiki.</t>
        </is>
      </c>
      <c r="F588" s="33" t="inlineStr">
        <is>
          <t>Texto</t>
        </is>
      </c>
      <c r="G588" s="33" t="inlineStr">
        <is>
          <t>—</t>
        </is>
      </c>
      <c r="H588" s="33" t="inlineStr">
        <is>
          <t>Integrada al lago</t>
        </is>
      </c>
      <c r="I588" s="33" t="inlineStr">
        <is>
          <t>No</t>
        </is>
      </c>
      <c r="J588" s="33" t="inlineStr">
        <is>
          <t>Integrada al lago</t>
        </is>
      </c>
      <c r="K588" s="33" t="inlineStr">
        <is>
          <t>Pública</t>
        </is>
      </c>
      <c r="L588" s="33" t="inlineStr">
        <is>
          <t>Copiado de la wiki.</t>
        </is>
      </c>
      <c r="M588" s="33" t="inlineStr">
        <is>
          <t>¿Qué dice el informe oficial a escala de ciudad?</t>
        </is>
      </c>
    </row>
    <row r="589" ht="15.75" customHeight="1" s="24">
      <c r="A589" s="33" t="inlineStr">
        <is>
          <t>F01–F15</t>
        </is>
      </c>
      <c r="B589" s="33" t="inlineStr">
        <is>
          <t>public/data/perfil_wiki.json</t>
        </is>
      </c>
      <c r="C589" s="33" t="inlineStr">
        <is>
          <t>fuentes.F06.nombre</t>
        </is>
      </c>
      <c r="D589" s="33" t="inlineStr">
        <is>
          <t>(wiki del grupo)</t>
        </is>
      </c>
      <c r="E589" s="33" t="inlineStr">
        <is>
          <t>Metadato o tabla auxiliar del perfil de la wiki.</t>
        </is>
      </c>
      <c r="F589" s="33" t="inlineStr">
        <is>
          <t>Texto</t>
        </is>
      </c>
      <c r="G589" s="33" t="inlineStr">
        <is>
          <t>—</t>
        </is>
      </c>
      <c r="H589" s="33" t="inlineStr">
        <is>
          <t>Housing in Figures 2025</t>
        </is>
      </c>
      <c r="I589" s="33" t="inlineStr">
        <is>
          <t>No</t>
        </is>
      </c>
      <c r="J589" s="33" t="inlineStr">
        <is>
          <t>Housing in Figures 2025</t>
        </is>
      </c>
      <c r="K589" s="33" t="inlineStr">
        <is>
          <t>Pública</t>
        </is>
      </c>
      <c r="L589" s="33" t="inlineStr">
        <is>
          <t>Copiado de la wiki.</t>
        </is>
      </c>
      <c r="M589" s="33" t="inlineStr">
        <is>
          <t>¿Qué dice el informe oficial a escala de ciudad?</t>
        </is>
      </c>
    </row>
    <row r="590" ht="15.75" customHeight="1" s="24">
      <c r="A590" s="33" t="inlineStr">
        <is>
          <t>F01–F15</t>
        </is>
      </c>
      <c r="B590" s="33" t="inlineStr">
        <is>
          <t>public/data/perfil_wiki.json</t>
        </is>
      </c>
      <c r="C590" s="33" t="inlineStr">
        <is>
          <t>fuentes.F06.entidad</t>
        </is>
      </c>
      <c r="D590" s="33" t="inlineStr">
        <is>
          <t>(wiki del grupo)</t>
        </is>
      </c>
      <c r="E590" s="33" t="inlineStr">
        <is>
          <t>Metadato o tabla auxiliar del perfil de la wiki.</t>
        </is>
      </c>
      <c r="F590" s="33" t="inlineStr">
        <is>
          <t>Texto</t>
        </is>
      </c>
      <c r="G590" s="33" t="inlineStr">
        <is>
          <t>—</t>
        </is>
      </c>
      <c r="H590" s="33" t="inlineStr">
        <is>
          <t>Housing Bureau / Hong Kong Housing Authority</t>
        </is>
      </c>
      <c r="I590" s="33" t="inlineStr">
        <is>
          <t>No</t>
        </is>
      </c>
      <c r="J590" s="33" t="inlineStr">
        <is>
          <t>Housing Bureau / Hong Kong Housing Authority</t>
        </is>
      </c>
      <c r="K590" s="33" t="inlineStr">
        <is>
          <t>Pública</t>
        </is>
      </c>
      <c r="L590" s="33" t="inlineStr">
        <is>
          <t>Copiado de la wiki.</t>
        </is>
      </c>
      <c r="M590" s="33" t="inlineStr">
        <is>
          <t>¿Qué dice el informe oficial a escala de ciudad?</t>
        </is>
      </c>
    </row>
    <row r="591" ht="15.75" customHeight="1" s="24">
      <c r="A591" s="33" t="inlineStr">
        <is>
          <t>F01–F15</t>
        </is>
      </c>
      <c r="B591" s="33" t="inlineStr">
        <is>
          <t>public/data/perfil_wiki.json</t>
        </is>
      </c>
      <c r="C591" s="33" t="inlineStr">
        <is>
          <t>fuentes.F06.url</t>
        </is>
      </c>
      <c r="D591" s="33" t="inlineStr">
        <is>
          <t>(wiki del grupo)</t>
        </is>
      </c>
      <c r="E591" s="33" t="inlineStr">
        <is>
          <t>Metadato o tabla auxiliar del perfil de la wiki.</t>
        </is>
      </c>
      <c r="F591" s="33" t="inlineStr">
        <is>
          <t>Texto</t>
        </is>
      </c>
      <c r="G591" s="33" t="inlineStr">
        <is>
          <t>—</t>
        </is>
      </c>
      <c r="H591" s="33" t="inlineStr">
        <is>
          <t>https://www.hb.gov.hk/eng/publications/housing/HIF2025.pdf</t>
        </is>
      </c>
      <c r="I591" s="33" t="inlineStr">
        <is>
          <t>No</t>
        </is>
      </c>
      <c r="J591" s="33" t="inlineStr">
        <is>
          <t>https://www.hb.gov.hk/eng/publications/housing/HIF2025.pdf</t>
        </is>
      </c>
      <c r="K591" s="33" t="inlineStr">
        <is>
          <t>Pública</t>
        </is>
      </c>
      <c r="L591" s="33" t="inlineStr">
        <is>
          <t>Copiado de la wiki.</t>
        </is>
      </c>
      <c r="M591" s="33" t="inlineStr">
        <is>
          <t>¿Qué dice el informe oficial a escala de ciudad?</t>
        </is>
      </c>
    </row>
    <row r="592" ht="15.75" customHeight="1" s="24">
      <c r="A592" s="33" t="inlineStr">
        <is>
          <t>F01–F15</t>
        </is>
      </c>
      <c r="B592" s="33" t="inlineStr">
        <is>
          <t>public/data/perfil_wiki.json</t>
        </is>
      </c>
      <c r="C592" s="33" t="inlineStr">
        <is>
          <t>fuentes.F06.estado</t>
        </is>
      </c>
      <c r="D592" s="33" t="inlineStr">
        <is>
          <t>(wiki del grupo)</t>
        </is>
      </c>
      <c r="E592" s="33" t="inlineStr">
        <is>
          <t>Metadato o tabla auxiliar del perfil de la wiki.</t>
        </is>
      </c>
      <c r="F592" s="33" t="inlineStr">
        <is>
          <t>Texto</t>
        </is>
      </c>
      <c r="G592" s="33" t="inlineStr">
        <is>
          <t>—</t>
        </is>
      </c>
      <c r="H592" s="33" t="inlineStr">
        <is>
          <t>Integrada al lago</t>
        </is>
      </c>
      <c r="I592" s="33" t="inlineStr">
        <is>
          <t>No</t>
        </is>
      </c>
      <c r="J592" s="33" t="inlineStr">
        <is>
          <t>Integrada al lago</t>
        </is>
      </c>
      <c r="K592" s="33" t="inlineStr">
        <is>
          <t>Pública</t>
        </is>
      </c>
      <c r="L592" s="33" t="inlineStr">
        <is>
          <t>Copiado de la wiki.</t>
        </is>
      </c>
      <c r="M592" s="33" t="inlineStr">
        <is>
          <t>¿Qué dice el informe oficial a escala de ciudad?</t>
        </is>
      </c>
    </row>
    <row r="593" ht="15.75" customHeight="1" s="24">
      <c r="A593" s="33" t="inlineStr">
        <is>
          <t>F01–F15</t>
        </is>
      </c>
      <c r="B593" s="33" t="inlineStr">
        <is>
          <t>public/data/perfil_wiki.json</t>
        </is>
      </c>
      <c r="C593" s="33" t="inlineStr">
        <is>
          <t>fuentes.F07.nombre</t>
        </is>
      </c>
      <c r="D593" s="33" t="inlineStr">
        <is>
          <t>(wiki del grupo)</t>
        </is>
      </c>
      <c r="E593" s="33" t="inlineStr">
        <is>
          <t>Metadato o tabla auxiliar del perfil de la wiki.</t>
        </is>
      </c>
      <c r="F593" s="33" t="inlineStr">
        <is>
          <t>Texto</t>
        </is>
      </c>
      <c r="G593" s="33" t="inlineStr">
        <is>
          <t>—</t>
        </is>
      </c>
      <c r="H593" s="33" t="inlineStr">
        <is>
          <t>Land and Housing 2025</t>
        </is>
      </c>
      <c r="I593" s="33" t="inlineStr">
        <is>
          <t>No</t>
        </is>
      </c>
      <c r="J593" s="33" t="inlineStr">
        <is>
          <t>Land and Housing 2025</t>
        </is>
      </c>
      <c r="K593" s="33" t="inlineStr">
        <is>
          <t>Pública</t>
        </is>
      </c>
      <c r="L593" s="33" t="inlineStr">
        <is>
          <t>Copiado de la wiki.</t>
        </is>
      </c>
      <c r="M593" s="33" t="inlineStr">
        <is>
          <t>¿Qué dice el informe oficial a escala de ciudad?</t>
        </is>
      </c>
    </row>
    <row r="594" ht="15.75" customHeight="1" s="24">
      <c r="A594" s="33" t="inlineStr">
        <is>
          <t>F01–F15</t>
        </is>
      </c>
      <c r="B594" s="33" t="inlineStr">
        <is>
          <t>public/data/perfil_wiki.json</t>
        </is>
      </c>
      <c r="C594" s="33" t="inlineStr">
        <is>
          <t>fuentes.F07.entidad</t>
        </is>
      </c>
      <c r="D594" s="33" t="inlineStr">
        <is>
          <t>(wiki del grupo)</t>
        </is>
      </c>
      <c r="E594" s="33" t="inlineStr">
        <is>
          <t>Metadato o tabla auxiliar del perfil de la wiki.</t>
        </is>
      </c>
      <c r="F594" s="33" t="inlineStr">
        <is>
          <t>Texto</t>
        </is>
      </c>
      <c r="G594" s="33" t="inlineStr">
        <is>
          <t>—</t>
        </is>
      </c>
      <c r="H594" s="33" t="inlineStr">
        <is>
          <t>Our Hong Kong Foundation (OHKF)</t>
        </is>
      </c>
      <c r="I594" s="33" t="inlineStr">
        <is>
          <t>No</t>
        </is>
      </c>
      <c r="J594" s="33" t="inlineStr">
        <is>
          <t>Our Hong Kong Foundation (OHKF)</t>
        </is>
      </c>
      <c r="K594" s="33" t="inlineStr">
        <is>
          <t>Pública</t>
        </is>
      </c>
      <c r="L594" s="33" t="inlineStr">
        <is>
          <t>Copiado de la wiki.</t>
        </is>
      </c>
      <c r="M594" s="33" t="inlineStr">
        <is>
          <t>¿Qué dice el informe oficial a escala de ciudad?</t>
        </is>
      </c>
    </row>
    <row r="595" ht="15.75" customHeight="1" s="24">
      <c r="A595" s="33" t="inlineStr">
        <is>
          <t>F01–F15</t>
        </is>
      </c>
      <c r="B595" s="33" t="inlineStr">
        <is>
          <t>public/data/perfil_wiki.json</t>
        </is>
      </c>
      <c r="C595" s="33" t="inlineStr">
        <is>
          <t>fuentes.F07.url</t>
        </is>
      </c>
      <c r="D595" s="33" t="inlineStr">
        <is>
          <t>(wiki del grupo)</t>
        </is>
      </c>
      <c r="E595" s="33" t="inlineStr">
        <is>
          <t>Metadato o tabla auxiliar del perfil de la wiki.</t>
        </is>
      </c>
      <c r="F595" s="33" t="inlineStr">
        <is>
          <t>Texto</t>
        </is>
      </c>
      <c r="G595" s="33" t="inlineStr">
        <is>
          <t>—</t>
        </is>
      </c>
      <c r="H595" s="33" t="inlineStr">
        <is>
          <t>https://s3.ourhkfoundation.org.hk/s3fs-public/2025-04/Land-and-Housing-2025_full…</t>
        </is>
      </c>
      <c r="I595" s="33" t="inlineStr">
        <is>
          <t>No</t>
        </is>
      </c>
      <c r="J595" s="33" t="inlineStr">
        <is>
          <t>https://s3.ourhkfoundation.org.hk/s3fs-public/2025-04/Land-and-Housing-2025_full-report_EN.pdf</t>
        </is>
      </c>
      <c r="K595" s="33" t="inlineStr">
        <is>
          <t>Pública</t>
        </is>
      </c>
      <c r="L595" s="33" t="inlineStr">
        <is>
          <t>Copiado de la wiki.</t>
        </is>
      </c>
      <c r="M595" s="33" t="inlineStr">
        <is>
          <t>¿Qué dice el informe oficial a escala de ciudad?</t>
        </is>
      </c>
    </row>
    <row r="596" ht="15.75" customHeight="1" s="24">
      <c r="A596" s="33" t="inlineStr">
        <is>
          <t>F01–F15</t>
        </is>
      </c>
      <c r="B596" s="33" t="inlineStr">
        <is>
          <t>public/data/perfil_wiki.json</t>
        </is>
      </c>
      <c r="C596" s="33" t="inlineStr">
        <is>
          <t>fuentes.F07.estado</t>
        </is>
      </c>
      <c r="D596" s="33" t="inlineStr">
        <is>
          <t>(wiki del grupo)</t>
        </is>
      </c>
      <c r="E596" s="33" t="inlineStr">
        <is>
          <t>Metadato o tabla auxiliar del perfil de la wiki.</t>
        </is>
      </c>
      <c r="F596" s="33" t="inlineStr">
        <is>
          <t>Texto</t>
        </is>
      </c>
      <c r="G596" s="33" t="inlineStr">
        <is>
          <t>—</t>
        </is>
      </c>
      <c r="H596" s="33" t="inlineStr">
        <is>
          <t>Candidata</t>
        </is>
      </c>
      <c r="I596" s="33" t="inlineStr">
        <is>
          <t>No</t>
        </is>
      </c>
      <c r="J596" s="33" t="inlineStr">
        <is>
          <t>Candidata</t>
        </is>
      </c>
      <c r="K596" s="33" t="inlineStr">
        <is>
          <t>Pública</t>
        </is>
      </c>
      <c r="L596" s="33" t="inlineStr">
        <is>
          <t>Copiado de la wiki.</t>
        </is>
      </c>
      <c r="M596" s="33" t="inlineStr">
        <is>
          <t>¿Qué dice el informe oficial a escala de ciudad?</t>
        </is>
      </c>
    </row>
    <row r="597" ht="15.75" customHeight="1" s="24">
      <c r="A597" s="33" t="inlineStr">
        <is>
          <t>F01–F15</t>
        </is>
      </c>
      <c r="B597" s="33" t="inlineStr">
        <is>
          <t>public/data/perfil_wiki.json</t>
        </is>
      </c>
      <c r="C597" s="33" t="inlineStr">
        <is>
          <t>fuentes.F08.nombre</t>
        </is>
      </c>
      <c r="D597" s="33" t="inlineStr">
        <is>
          <t>(wiki del grupo)</t>
        </is>
      </c>
      <c r="E597" s="33" t="inlineStr">
        <is>
          <t>Metadato o tabla auxiliar del perfil de la wiki.</t>
        </is>
      </c>
      <c r="F597" s="33" t="inlineStr">
        <is>
          <t>Texto</t>
        </is>
      </c>
      <c r="G597" s="33" t="inlineStr">
        <is>
          <t>—</t>
        </is>
      </c>
      <c r="H597" s="33" t="inlineStr">
        <is>
          <t>The 2026-27 Budget</t>
        </is>
      </c>
      <c r="I597" s="33" t="inlineStr">
        <is>
          <t>No</t>
        </is>
      </c>
      <c r="J597" s="33" t="inlineStr">
        <is>
          <t>The 2026-27 Budget</t>
        </is>
      </c>
      <c r="K597" s="33" t="inlineStr">
        <is>
          <t>Pública</t>
        </is>
      </c>
      <c r="L597" s="33" t="inlineStr">
        <is>
          <t>Copiado de la wiki.</t>
        </is>
      </c>
      <c r="M597" s="33" t="inlineStr">
        <is>
          <t>¿Qué dice el informe oficial a escala de ciudad?</t>
        </is>
      </c>
    </row>
    <row r="598" ht="15.75" customHeight="1" s="24">
      <c r="A598" s="33" t="inlineStr">
        <is>
          <t>F01–F15</t>
        </is>
      </c>
      <c r="B598" s="33" t="inlineStr">
        <is>
          <t>public/data/perfil_wiki.json</t>
        </is>
      </c>
      <c r="C598" s="33" t="inlineStr">
        <is>
          <t>fuentes.F08.entidad</t>
        </is>
      </c>
      <c r="D598" s="33" t="inlineStr">
        <is>
          <t>(wiki del grupo)</t>
        </is>
      </c>
      <c r="E598" s="33" t="inlineStr">
        <is>
          <t>Metadato o tabla auxiliar del perfil de la wiki.</t>
        </is>
      </c>
      <c r="F598" s="33" t="inlineStr">
        <is>
          <t>Texto</t>
        </is>
      </c>
      <c r="G598" s="33" t="inlineStr">
        <is>
          <t>—</t>
        </is>
      </c>
      <c r="H598" s="33" t="inlineStr">
        <is>
          <t>Financial Secretary — Gobierno de la RAE de HK</t>
        </is>
      </c>
      <c r="I598" s="33" t="inlineStr">
        <is>
          <t>No</t>
        </is>
      </c>
      <c r="J598" s="33" t="inlineStr">
        <is>
          <t>Financial Secretary — Gobierno de la RAE de HK</t>
        </is>
      </c>
      <c r="K598" s="33" t="inlineStr">
        <is>
          <t>Pública</t>
        </is>
      </c>
      <c r="L598" s="33" t="inlineStr">
        <is>
          <t>Copiado de la wiki.</t>
        </is>
      </c>
      <c r="M598" s="33" t="inlineStr">
        <is>
          <t>¿Qué dice el informe oficial a escala de ciudad?</t>
        </is>
      </c>
    </row>
    <row r="599" ht="15.75" customHeight="1" s="24">
      <c r="A599" s="33" t="inlineStr">
        <is>
          <t>F01–F15</t>
        </is>
      </c>
      <c r="B599" s="33" t="inlineStr">
        <is>
          <t>public/data/perfil_wiki.json</t>
        </is>
      </c>
      <c r="C599" s="33" t="inlineStr">
        <is>
          <t>fuentes.F08.url</t>
        </is>
      </c>
      <c r="D599" s="33" t="inlineStr">
        <is>
          <t>(wiki del grupo)</t>
        </is>
      </c>
      <c r="E599" s="33" t="inlineStr">
        <is>
          <t>Metadato o tabla auxiliar del perfil de la wiki.</t>
        </is>
      </c>
      <c r="F599" s="33" t="inlineStr">
        <is>
          <t>Texto</t>
        </is>
      </c>
      <c r="G599" s="33" t="inlineStr">
        <is>
          <t>—</t>
        </is>
      </c>
      <c r="H599" s="33" t="inlineStr">
        <is>
          <t>https://www.budget.gov.hk/2026/eng/budget54.html</t>
        </is>
      </c>
      <c r="I599" s="33" t="inlineStr">
        <is>
          <t>No</t>
        </is>
      </c>
      <c r="J599" s="33" t="inlineStr">
        <is>
          <t>https://www.budget.gov.hk/2026/eng/budget54.html</t>
        </is>
      </c>
      <c r="K599" s="33" t="inlineStr">
        <is>
          <t>Pública</t>
        </is>
      </c>
      <c r="L599" s="33" t="inlineStr">
        <is>
          <t>Copiado de la wiki.</t>
        </is>
      </c>
      <c r="M599" s="33" t="inlineStr">
        <is>
          <t>¿Qué dice el informe oficial a escala de ciudad?</t>
        </is>
      </c>
    </row>
    <row r="600" ht="15.75" customHeight="1" s="24">
      <c r="A600" s="33" t="inlineStr">
        <is>
          <t>F01–F15</t>
        </is>
      </c>
      <c r="B600" s="33" t="inlineStr">
        <is>
          <t>public/data/perfil_wiki.json</t>
        </is>
      </c>
      <c r="C600" s="33" t="inlineStr">
        <is>
          <t>fuentes.F08.estado</t>
        </is>
      </c>
      <c r="D600" s="33" t="inlineStr">
        <is>
          <t>(wiki del grupo)</t>
        </is>
      </c>
      <c r="E600" s="33" t="inlineStr">
        <is>
          <t>Metadato o tabla auxiliar del perfil de la wiki.</t>
        </is>
      </c>
      <c r="F600" s="33" t="inlineStr">
        <is>
          <t>Texto</t>
        </is>
      </c>
      <c r="G600" s="33" t="inlineStr">
        <is>
          <t>—</t>
        </is>
      </c>
      <c r="H600" s="33" t="inlineStr">
        <is>
          <t>Integrada al lago</t>
        </is>
      </c>
      <c r="I600" s="33" t="inlineStr">
        <is>
          <t>No</t>
        </is>
      </c>
      <c r="J600" s="33" t="inlineStr">
        <is>
          <t>Integrada al lago</t>
        </is>
      </c>
      <c r="K600" s="33" t="inlineStr">
        <is>
          <t>Pública</t>
        </is>
      </c>
      <c r="L600" s="33" t="inlineStr">
        <is>
          <t>Copiado de la wiki.</t>
        </is>
      </c>
      <c r="M600" s="33" t="inlineStr">
        <is>
          <t>¿Qué dice el informe oficial a escala de ciudad?</t>
        </is>
      </c>
    </row>
    <row r="601" ht="15.75" customHeight="1" s="24">
      <c r="A601" s="33" t="inlineStr">
        <is>
          <t>F01–F15</t>
        </is>
      </c>
      <c r="B601" s="33" t="inlineStr">
        <is>
          <t>public/data/perfil_wiki.json</t>
        </is>
      </c>
      <c r="C601" s="33" t="inlineStr">
        <is>
          <t>fuentes.F09.nombre</t>
        </is>
      </c>
      <c r="D601" s="33" t="inlineStr">
        <is>
          <t>(wiki del grupo)</t>
        </is>
      </c>
      <c r="E601" s="33" t="inlineStr">
        <is>
          <t>Metadato o tabla auxiliar del perfil de la wiki.</t>
        </is>
      </c>
      <c r="F601" s="33" t="inlineStr">
        <is>
          <t>Texto</t>
        </is>
      </c>
      <c r="G601" s="33" t="inlineStr">
        <is>
          <t>—</t>
        </is>
      </c>
      <c r="H601" s="33" t="inlineStr">
        <is>
          <t>The Four Key Industries in the Hong Kong Economy</t>
        </is>
      </c>
      <c r="I601" s="33" t="inlineStr">
        <is>
          <t>No</t>
        </is>
      </c>
      <c r="J601" s="33" t="inlineStr">
        <is>
          <t>The Four Key Industries in the Hong Kong Economy</t>
        </is>
      </c>
      <c r="K601" s="33" t="inlineStr">
        <is>
          <t>Pública</t>
        </is>
      </c>
      <c r="L601" s="33" t="inlineStr">
        <is>
          <t>Copiado de la wiki.</t>
        </is>
      </c>
      <c r="M601" s="33" t="inlineStr">
        <is>
          <t>¿Qué dice el informe oficial a escala de ciudad?</t>
        </is>
      </c>
    </row>
    <row r="602" ht="15.75" customHeight="1" s="24">
      <c r="A602" s="33" t="inlineStr">
        <is>
          <t>F01–F15</t>
        </is>
      </c>
      <c r="B602" s="33" t="inlineStr">
        <is>
          <t>public/data/perfil_wiki.json</t>
        </is>
      </c>
      <c r="C602" s="33" t="inlineStr">
        <is>
          <t>fuentes.F09.entidad</t>
        </is>
      </c>
      <c r="D602" s="33" t="inlineStr">
        <is>
          <t>(wiki del grupo)</t>
        </is>
      </c>
      <c r="E602" s="33" t="inlineStr">
        <is>
          <t>Metadato o tabla auxiliar del perfil de la wiki.</t>
        </is>
      </c>
      <c r="F602" s="33" t="inlineStr">
        <is>
          <t>Texto</t>
        </is>
      </c>
      <c r="G602" s="33" t="inlineStr">
        <is>
          <t>—</t>
        </is>
      </c>
      <c r="H602" s="33" t="inlineStr">
        <is>
          <t>Census and Statistics Department (C&amp;SD)</t>
        </is>
      </c>
      <c r="I602" s="33" t="inlineStr">
        <is>
          <t>No</t>
        </is>
      </c>
      <c r="J602" s="33" t="inlineStr">
        <is>
          <t>Census and Statistics Department (C&amp;SD)</t>
        </is>
      </c>
      <c r="K602" s="33" t="inlineStr">
        <is>
          <t>Pública</t>
        </is>
      </c>
      <c r="L602" s="33" t="inlineStr">
        <is>
          <t>Copiado de la wiki.</t>
        </is>
      </c>
      <c r="M602" s="33" t="inlineStr">
        <is>
          <t>¿Qué dice el informe oficial a escala de ciudad?</t>
        </is>
      </c>
    </row>
    <row r="603" ht="15.75" customHeight="1" s="24">
      <c r="A603" s="33" t="inlineStr">
        <is>
          <t>F01–F15</t>
        </is>
      </c>
      <c r="B603" s="33" t="inlineStr">
        <is>
          <t>public/data/perfil_wiki.json</t>
        </is>
      </c>
      <c r="C603" s="33" t="inlineStr">
        <is>
          <t>fuentes.F09.url</t>
        </is>
      </c>
      <c r="D603" s="33" t="inlineStr">
        <is>
          <t>(wiki del grupo)</t>
        </is>
      </c>
      <c r="E603" s="33" t="inlineStr">
        <is>
          <t>Metadato o tabla auxiliar del perfil de la wiki.</t>
        </is>
      </c>
      <c r="F603" s="33" t="inlineStr">
        <is>
          <t>Texto</t>
        </is>
      </c>
      <c r="G603" s="33" t="inlineStr">
        <is>
          <t>—</t>
        </is>
      </c>
      <c r="H603" s="33" t="inlineStr">
        <is>
          <t>https://www.censtatd.gov.hk/en/scode80.html?productCode=FA100099</t>
        </is>
      </c>
      <c r="I603" s="33" t="inlineStr">
        <is>
          <t>No</t>
        </is>
      </c>
      <c r="J603" s="33" t="inlineStr">
        <is>
          <t>https://www.censtatd.gov.hk/en/scode80.html?productCode=FA100099</t>
        </is>
      </c>
      <c r="K603" s="33" t="inlineStr">
        <is>
          <t>Pública</t>
        </is>
      </c>
      <c r="L603" s="33" t="inlineStr">
        <is>
          <t>Copiado de la wiki.</t>
        </is>
      </c>
      <c r="M603" s="33" t="inlineStr">
        <is>
          <t>¿Qué dice el informe oficial a escala de ciudad?</t>
        </is>
      </c>
    </row>
    <row r="604" ht="15.75" customHeight="1" s="24">
      <c r="A604" s="33" t="inlineStr">
        <is>
          <t>F01–F15</t>
        </is>
      </c>
      <c r="B604" s="33" t="inlineStr">
        <is>
          <t>public/data/perfil_wiki.json</t>
        </is>
      </c>
      <c r="C604" s="33" t="inlineStr">
        <is>
          <t>fuentes.F09.estado</t>
        </is>
      </c>
      <c r="D604" s="33" t="inlineStr">
        <is>
          <t>(wiki del grupo)</t>
        </is>
      </c>
      <c r="E604" s="33" t="inlineStr">
        <is>
          <t>Metadato o tabla auxiliar del perfil de la wiki.</t>
        </is>
      </c>
      <c r="F604" s="33" t="inlineStr">
        <is>
          <t>Texto</t>
        </is>
      </c>
      <c r="G604" s="33" t="inlineStr">
        <is>
          <t>—</t>
        </is>
      </c>
      <c r="H604" s="33" t="inlineStr">
        <is>
          <t>Integrada al lago</t>
        </is>
      </c>
      <c r="I604" s="33" t="inlineStr">
        <is>
          <t>No</t>
        </is>
      </c>
      <c r="J604" s="33" t="inlineStr">
        <is>
          <t>Integrada al lago</t>
        </is>
      </c>
      <c r="K604" s="33" t="inlineStr">
        <is>
          <t>Pública</t>
        </is>
      </c>
      <c r="L604" s="33" t="inlineStr">
        <is>
          <t>Copiado de la wiki.</t>
        </is>
      </c>
      <c r="M604" s="33" t="inlineStr">
        <is>
          <t>¿Qué dice el informe oficial a escala de ciudad?</t>
        </is>
      </c>
    </row>
    <row r="605" ht="15.75" customHeight="1" s="24">
      <c r="A605" s="33" t="inlineStr">
        <is>
          <t>F01–F15</t>
        </is>
      </c>
      <c r="B605" s="33" t="inlineStr">
        <is>
          <t>public/data/perfil_wiki.json</t>
        </is>
      </c>
      <c r="C605" s="33" t="inlineStr">
        <is>
          <t>fuentes.F10.nombre</t>
        </is>
      </c>
      <c r="D605" s="33" t="inlineStr">
        <is>
          <t>(wiki del grupo)</t>
        </is>
      </c>
      <c r="E605" s="33" t="inlineStr">
        <is>
          <t>Metadato o tabla auxiliar del perfil de la wiki.</t>
        </is>
      </c>
      <c r="F605" s="33" t="inlineStr">
        <is>
          <t>Texto</t>
        </is>
      </c>
      <c r="G605" s="33" t="inlineStr">
        <is>
          <t>—</t>
        </is>
      </c>
      <c r="H605" s="33" t="inlineStr">
        <is>
          <t>Situación de ley y orden 2025</t>
        </is>
      </c>
      <c r="I605" s="33" t="inlineStr">
        <is>
          <t>No</t>
        </is>
      </c>
      <c r="J605" s="33" t="inlineStr">
        <is>
          <t>Situación de ley y orden 2025</t>
        </is>
      </c>
      <c r="K605" s="33" t="inlineStr">
        <is>
          <t>Pública</t>
        </is>
      </c>
      <c r="L605" s="33" t="inlineStr">
        <is>
          <t>Copiado de la wiki.</t>
        </is>
      </c>
      <c r="M605" s="33" t="inlineStr">
        <is>
          <t>¿Qué dice el informe oficial a escala de ciudad?</t>
        </is>
      </c>
    </row>
    <row r="606" ht="15.75" customHeight="1" s="24">
      <c r="A606" s="33" t="inlineStr">
        <is>
          <t>F01–F15</t>
        </is>
      </c>
      <c r="B606" s="33" t="inlineStr">
        <is>
          <t>public/data/perfil_wiki.json</t>
        </is>
      </c>
      <c r="C606" s="33" t="inlineStr">
        <is>
          <t>fuentes.F10.entidad</t>
        </is>
      </c>
      <c r="D606" s="33" t="inlineStr">
        <is>
          <t>(wiki del grupo)</t>
        </is>
      </c>
      <c r="E606" s="33" t="inlineStr">
        <is>
          <t>Metadato o tabla auxiliar del perfil de la wiki.</t>
        </is>
      </c>
      <c r="F606" s="33" t="inlineStr">
        <is>
          <t>Texto</t>
        </is>
      </c>
      <c r="G606" s="33" t="inlineStr">
        <is>
          <t>—</t>
        </is>
      </c>
      <c r="H606" s="33" t="inlineStr">
        <is>
          <t>Hong Kong Police Force (HKPF)</t>
        </is>
      </c>
      <c r="I606" s="33" t="inlineStr">
        <is>
          <t>No</t>
        </is>
      </c>
      <c r="J606" s="33" t="inlineStr">
        <is>
          <t>Hong Kong Police Force (HKPF)</t>
        </is>
      </c>
      <c r="K606" s="33" t="inlineStr">
        <is>
          <t>Pública</t>
        </is>
      </c>
      <c r="L606" s="33" t="inlineStr">
        <is>
          <t>Copiado de la wiki.</t>
        </is>
      </c>
      <c r="M606" s="33" t="inlineStr">
        <is>
          <t>¿Qué dice el informe oficial a escala de ciudad?</t>
        </is>
      </c>
    </row>
    <row r="607" ht="15.75" customHeight="1" s="24">
      <c r="A607" s="33" t="inlineStr">
        <is>
          <t>F01–F15</t>
        </is>
      </c>
      <c r="B607" s="33" t="inlineStr">
        <is>
          <t>public/data/perfil_wiki.json</t>
        </is>
      </c>
      <c r="C607" s="33" t="inlineStr">
        <is>
          <t>fuentes.F10.url</t>
        </is>
      </c>
      <c r="D607" s="33" t="inlineStr">
        <is>
          <t>(wiki del grupo)</t>
        </is>
      </c>
      <c r="E607" s="33" t="inlineStr">
        <is>
          <t>Metadato o tabla auxiliar del perfil de la wiki.</t>
        </is>
      </c>
      <c r="F607" s="33" t="inlineStr">
        <is>
          <t>Texto</t>
        </is>
      </c>
      <c r="G607" s="33" t="inlineStr">
        <is>
          <t>—</t>
        </is>
      </c>
      <c r="H607" s="33" t="inlineStr">
        <is>
          <t>https://www.police.gov.hk/ppp_en/09_statistics/csd.html</t>
        </is>
      </c>
      <c r="I607" s="33" t="inlineStr">
        <is>
          <t>No</t>
        </is>
      </c>
      <c r="J607" s="33" t="inlineStr">
        <is>
          <t>https://www.police.gov.hk/ppp_en/09_statistics/csd.html</t>
        </is>
      </c>
      <c r="K607" s="33" t="inlineStr">
        <is>
          <t>Pública</t>
        </is>
      </c>
      <c r="L607" s="33" t="inlineStr">
        <is>
          <t>Copiado de la wiki.</t>
        </is>
      </c>
      <c r="M607" s="33" t="inlineStr">
        <is>
          <t>¿Qué dice el informe oficial a escala de ciudad?</t>
        </is>
      </c>
    </row>
    <row r="608" ht="15.75" customHeight="1" s="24">
      <c r="A608" s="33" t="inlineStr">
        <is>
          <t>F01–F15</t>
        </is>
      </c>
      <c r="B608" s="33" t="inlineStr">
        <is>
          <t>public/data/perfil_wiki.json</t>
        </is>
      </c>
      <c r="C608" s="33" t="inlineStr">
        <is>
          <t>fuentes.F10.estado</t>
        </is>
      </c>
      <c r="D608" s="33" t="inlineStr">
        <is>
          <t>(wiki del grupo)</t>
        </is>
      </c>
      <c r="E608" s="33" t="inlineStr">
        <is>
          <t>Metadato o tabla auxiliar del perfil de la wiki.</t>
        </is>
      </c>
      <c r="F608" s="33" t="inlineStr">
        <is>
          <t>Texto</t>
        </is>
      </c>
      <c r="G608" s="33" t="inlineStr">
        <is>
          <t>—</t>
        </is>
      </c>
      <c r="H608" s="33" t="inlineStr">
        <is>
          <t>Integrada al lago</t>
        </is>
      </c>
      <c r="I608" s="33" t="inlineStr">
        <is>
          <t>No</t>
        </is>
      </c>
      <c r="J608" s="33" t="inlineStr">
        <is>
          <t>Integrada al lago</t>
        </is>
      </c>
      <c r="K608" s="33" t="inlineStr">
        <is>
          <t>Pública</t>
        </is>
      </c>
      <c r="L608" s="33" t="inlineStr">
        <is>
          <t>Copiado de la wiki.</t>
        </is>
      </c>
      <c r="M608" s="33" t="inlineStr">
        <is>
          <t>¿Qué dice el informe oficial a escala de ciudad?</t>
        </is>
      </c>
    </row>
    <row r="609" ht="15.75" customHeight="1" s="24">
      <c r="A609" s="33" t="inlineStr">
        <is>
          <t>F01–F15</t>
        </is>
      </c>
      <c r="B609" s="33" t="inlineStr">
        <is>
          <t>public/data/perfil_wiki.json</t>
        </is>
      </c>
      <c r="C609" s="33" t="inlineStr">
        <is>
          <t>fuentes.F11.nombre</t>
        </is>
      </c>
      <c r="D609" s="33" t="inlineStr">
        <is>
          <t>(wiki del grupo)</t>
        </is>
      </c>
      <c r="E609" s="33" t="inlineStr">
        <is>
          <t>Metadato o tabla auxiliar del perfil de la wiki.</t>
        </is>
      </c>
      <c r="F609" s="33" t="inlineStr">
        <is>
          <t>Texto</t>
        </is>
      </c>
      <c r="G609" s="33" t="inlineStr">
        <is>
          <t>—</t>
        </is>
      </c>
      <c r="H609" s="33" t="inlineStr">
        <is>
          <t>Corruption Perceptions Index 2025</t>
        </is>
      </c>
      <c r="I609" s="33" t="inlineStr">
        <is>
          <t>No</t>
        </is>
      </c>
      <c r="J609" s="33" t="inlineStr">
        <is>
          <t>Corruption Perceptions Index 2025</t>
        </is>
      </c>
      <c r="K609" s="33" t="inlineStr">
        <is>
          <t>Pública</t>
        </is>
      </c>
      <c r="L609" s="33" t="inlineStr">
        <is>
          <t>Copiado de la wiki.</t>
        </is>
      </c>
      <c r="M609" s="33" t="inlineStr">
        <is>
          <t>¿Qué dice el informe oficial a escala de ciudad?</t>
        </is>
      </c>
    </row>
    <row r="610" ht="15.75" customHeight="1" s="24">
      <c r="A610" s="33" t="inlineStr">
        <is>
          <t>F01–F15</t>
        </is>
      </c>
      <c r="B610" s="33" t="inlineStr">
        <is>
          <t>public/data/perfil_wiki.json</t>
        </is>
      </c>
      <c r="C610" s="33" t="inlineStr">
        <is>
          <t>fuentes.F11.entidad</t>
        </is>
      </c>
      <c r="D610" s="33" t="inlineStr">
        <is>
          <t>(wiki del grupo)</t>
        </is>
      </c>
      <c r="E610" s="33" t="inlineStr">
        <is>
          <t>Metadato o tabla auxiliar del perfil de la wiki.</t>
        </is>
      </c>
      <c r="F610" s="33" t="inlineStr">
        <is>
          <t>Texto</t>
        </is>
      </c>
      <c r="G610" s="33" t="inlineStr">
        <is>
          <t>—</t>
        </is>
      </c>
      <c r="H610" s="33" t="inlineStr">
        <is>
          <t>ICAC HK / Transparency International</t>
        </is>
      </c>
      <c r="I610" s="33" t="inlineStr">
        <is>
          <t>No</t>
        </is>
      </c>
      <c r="J610" s="33" t="inlineStr">
        <is>
          <t>ICAC HK / Transparency International</t>
        </is>
      </c>
      <c r="K610" s="33" t="inlineStr">
        <is>
          <t>Pública</t>
        </is>
      </c>
      <c r="L610" s="33" t="inlineStr">
        <is>
          <t>Copiado de la wiki.</t>
        </is>
      </c>
      <c r="M610" s="33" t="inlineStr">
        <is>
          <t>¿Qué dice el informe oficial a escala de ciudad?</t>
        </is>
      </c>
    </row>
    <row r="611" ht="15.75" customHeight="1" s="24">
      <c r="A611" s="33" t="inlineStr">
        <is>
          <t>F01–F15</t>
        </is>
      </c>
      <c r="B611" s="33" t="inlineStr">
        <is>
          <t>public/data/perfil_wiki.json</t>
        </is>
      </c>
      <c r="C611" s="33" t="inlineStr">
        <is>
          <t>fuentes.F11.url</t>
        </is>
      </c>
      <c r="D611" s="33" t="inlineStr">
        <is>
          <t>(wiki del grupo)</t>
        </is>
      </c>
      <c r="E611" s="33" t="inlineStr">
        <is>
          <t>Metadato o tabla auxiliar del perfil de la wiki.</t>
        </is>
      </c>
      <c r="F611" s="33" t="inlineStr">
        <is>
          <t>Texto</t>
        </is>
      </c>
      <c r="G611" s="33" t="inlineStr">
        <is>
          <t>—</t>
        </is>
      </c>
      <c r="H611" s="33" t="inlineStr">
        <is>
          <t>https://www.icac.org.hk/en/intl-persp/ranking-and-research/corruption-perception…</t>
        </is>
      </c>
      <c r="I611" s="33" t="inlineStr">
        <is>
          <t>No</t>
        </is>
      </c>
      <c r="J611" s="33" t="inlineStr">
        <is>
          <t>https://www.icac.org.hk/en/intl-persp/ranking-and-research/corruption-perceptions-index/index.html</t>
        </is>
      </c>
      <c r="K611" s="33" t="inlineStr">
        <is>
          <t>Pública</t>
        </is>
      </c>
      <c r="L611" s="33" t="inlineStr">
        <is>
          <t>Copiado de la wiki.</t>
        </is>
      </c>
      <c r="M611" s="33" t="inlineStr">
        <is>
          <t>¿Qué dice el informe oficial a escala de ciudad?</t>
        </is>
      </c>
    </row>
    <row r="612" ht="15.75" customHeight="1" s="24">
      <c r="A612" s="33" t="inlineStr">
        <is>
          <t>F01–F15</t>
        </is>
      </c>
      <c r="B612" s="33" t="inlineStr">
        <is>
          <t>public/data/perfil_wiki.json</t>
        </is>
      </c>
      <c r="C612" s="33" t="inlineStr">
        <is>
          <t>fuentes.F11.estado</t>
        </is>
      </c>
      <c r="D612" s="33" t="inlineStr">
        <is>
          <t>(wiki del grupo)</t>
        </is>
      </c>
      <c r="E612" s="33" t="inlineStr">
        <is>
          <t>Metadato o tabla auxiliar del perfil de la wiki.</t>
        </is>
      </c>
      <c r="F612" s="33" t="inlineStr">
        <is>
          <t>Texto</t>
        </is>
      </c>
      <c r="G612" s="33" t="inlineStr">
        <is>
          <t>—</t>
        </is>
      </c>
      <c r="H612" s="33" t="inlineStr">
        <is>
          <t>Integrada al lago</t>
        </is>
      </c>
      <c r="I612" s="33" t="inlineStr">
        <is>
          <t>No</t>
        </is>
      </c>
      <c r="J612" s="33" t="inlineStr">
        <is>
          <t>Integrada al lago</t>
        </is>
      </c>
      <c r="K612" s="33" t="inlineStr">
        <is>
          <t>Pública</t>
        </is>
      </c>
      <c r="L612" s="33" t="inlineStr">
        <is>
          <t>Copiado de la wiki.</t>
        </is>
      </c>
      <c r="M612" s="33" t="inlineStr">
        <is>
          <t>¿Qué dice el informe oficial a escala de ciudad?</t>
        </is>
      </c>
    </row>
    <row r="613" ht="15.75" customHeight="1" s="24">
      <c r="A613" s="33" t="inlineStr">
        <is>
          <t>F01–F15</t>
        </is>
      </c>
      <c r="B613" s="33" t="inlineStr">
        <is>
          <t>public/data/perfil_wiki.json</t>
        </is>
      </c>
      <c r="C613" s="33" t="inlineStr">
        <is>
          <t>fuentes.F12.nombre</t>
        </is>
      </c>
      <c r="D613" s="33" t="inlineStr">
        <is>
          <t>(wiki del grupo)</t>
        </is>
      </c>
      <c r="E613" s="33" t="inlineStr">
        <is>
          <t>Metadato o tabla auxiliar del perfil de la wiki.</t>
        </is>
      </c>
      <c r="F613" s="33" t="inlineStr">
        <is>
          <t>Texto</t>
        </is>
      </c>
      <c r="G613" s="33" t="inlineStr">
        <is>
          <t>—</t>
        </is>
      </c>
      <c r="H613" s="33" t="inlineStr">
        <is>
          <t>Hong Kong: The Facts – Tourism</t>
        </is>
      </c>
      <c r="I613" s="33" t="inlineStr">
        <is>
          <t>No</t>
        </is>
      </c>
      <c r="J613" s="33" t="inlineStr">
        <is>
          <t>Hong Kong: The Facts – Tourism</t>
        </is>
      </c>
      <c r="K613" s="33" t="inlineStr">
        <is>
          <t>Pública</t>
        </is>
      </c>
      <c r="L613" s="33" t="inlineStr">
        <is>
          <t>Copiado de la wiki.</t>
        </is>
      </c>
      <c r="M613" s="33" t="inlineStr">
        <is>
          <t>¿Qué dice el informe oficial a escala de ciudad?</t>
        </is>
      </c>
    </row>
    <row r="614" ht="15.75" customHeight="1" s="24">
      <c r="A614" s="33" t="inlineStr">
        <is>
          <t>F01–F15</t>
        </is>
      </c>
      <c r="B614" s="33" t="inlineStr">
        <is>
          <t>public/data/perfil_wiki.json</t>
        </is>
      </c>
      <c r="C614" s="33" t="inlineStr">
        <is>
          <t>fuentes.F12.entidad</t>
        </is>
      </c>
      <c r="D614" s="33" t="inlineStr">
        <is>
          <t>(wiki del grupo)</t>
        </is>
      </c>
      <c r="E614" s="33" t="inlineStr">
        <is>
          <t>Metadato o tabla auxiliar del perfil de la wiki.</t>
        </is>
      </c>
      <c r="F614" s="33" t="inlineStr">
        <is>
          <t>Texto</t>
        </is>
      </c>
      <c r="G614" s="33" t="inlineStr">
        <is>
          <t>—</t>
        </is>
      </c>
      <c r="H614" s="33" t="inlineStr">
        <is>
          <t>gov.hk (datos de HKTB y C&amp;SD)</t>
        </is>
      </c>
      <c r="I614" s="33" t="inlineStr">
        <is>
          <t>No</t>
        </is>
      </c>
      <c r="J614" s="33" t="inlineStr">
        <is>
          <t>gov.hk (datos de HKTB y C&amp;SD)</t>
        </is>
      </c>
      <c r="K614" s="33" t="inlineStr">
        <is>
          <t>Pública</t>
        </is>
      </c>
      <c r="L614" s="33" t="inlineStr">
        <is>
          <t>Copiado de la wiki.</t>
        </is>
      </c>
      <c r="M614" s="33" t="inlineStr">
        <is>
          <t>¿Qué dice el informe oficial a escala de ciudad?</t>
        </is>
      </c>
    </row>
    <row r="615" ht="15.75" customHeight="1" s="24">
      <c r="A615" s="33" t="inlineStr">
        <is>
          <t>F01–F15</t>
        </is>
      </c>
      <c r="B615" s="33" t="inlineStr">
        <is>
          <t>public/data/perfil_wiki.json</t>
        </is>
      </c>
      <c r="C615" s="33" t="inlineStr">
        <is>
          <t>fuentes.F12.url</t>
        </is>
      </c>
      <c r="D615" s="33" t="inlineStr">
        <is>
          <t>(wiki del grupo)</t>
        </is>
      </c>
      <c r="E615" s="33" t="inlineStr">
        <is>
          <t>Metadato o tabla auxiliar del perfil de la wiki.</t>
        </is>
      </c>
      <c r="F615" s="33" t="inlineStr">
        <is>
          <t>Texto</t>
        </is>
      </c>
      <c r="G615" s="33" t="inlineStr">
        <is>
          <t>—</t>
        </is>
      </c>
      <c r="H615" s="33" t="inlineStr">
        <is>
          <t>https://www.gov.hk/en/about/abouthk/factsheets/docs/tourism.pdf</t>
        </is>
      </c>
      <c r="I615" s="33" t="inlineStr">
        <is>
          <t>No</t>
        </is>
      </c>
      <c r="J615" s="33" t="inlineStr">
        <is>
          <t>https://www.gov.hk/en/about/abouthk/factsheets/docs/tourism.pdf</t>
        </is>
      </c>
      <c r="K615" s="33" t="inlineStr">
        <is>
          <t>Pública</t>
        </is>
      </c>
      <c r="L615" s="33" t="inlineStr">
        <is>
          <t>Copiado de la wiki.</t>
        </is>
      </c>
      <c r="M615" s="33" t="inlineStr">
        <is>
          <t>¿Qué dice el informe oficial a escala de ciudad?</t>
        </is>
      </c>
    </row>
    <row r="616" ht="15.75" customHeight="1" s="24">
      <c r="A616" s="33" t="inlineStr">
        <is>
          <t>F01–F15</t>
        </is>
      </c>
      <c r="B616" s="33" t="inlineStr">
        <is>
          <t>public/data/perfil_wiki.json</t>
        </is>
      </c>
      <c r="C616" s="33" t="inlineStr">
        <is>
          <t>fuentes.F12.estado</t>
        </is>
      </c>
      <c r="D616" s="33" t="inlineStr">
        <is>
          <t>(wiki del grupo)</t>
        </is>
      </c>
      <c r="E616" s="33" t="inlineStr">
        <is>
          <t>Metadato o tabla auxiliar del perfil de la wiki.</t>
        </is>
      </c>
      <c r="F616" s="33" t="inlineStr">
        <is>
          <t>Texto</t>
        </is>
      </c>
      <c r="G616" s="33" t="inlineStr">
        <is>
          <t>—</t>
        </is>
      </c>
      <c r="H616" s="33" t="inlineStr">
        <is>
          <t>Integrada al lago</t>
        </is>
      </c>
      <c r="I616" s="33" t="inlineStr">
        <is>
          <t>No</t>
        </is>
      </c>
      <c r="J616" s="33" t="inlineStr">
        <is>
          <t>Integrada al lago</t>
        </is>
      </c>
      <c r="K616" s="33" t="inlineStr">
        <is>
          <t>Pública</t>
        </is>
      </c>
      <c r="L616" s="33" t="inlineStr">
        <is>
          <t>Copiado de la wiki.</t>
        </is>
      </c>
      <c r="M616" s="33" t="inlineStr">
        <is>
          <t>¿Qué dice el informe oficial a escala de ciudad?</t>
        </is>
      </c>
    </row>
    <row r="617" ht="15.75" customHeight="1" s="24">
      <c r="A617" s="33" t="inlineStr">
        <is>
          <t>F01–F15</t>
        </is>
      </c>
      <c r="B617" s="33" t="inlineStr">
        <is>
          <t>public/data/perfil_wiki.json</t>
        </is>
      </c>
      <c r="C617" s="33" t="inlineStr">
        <is>
          <t>fuentes.F13.nombre</t>
        </is>
      </c>
      <c r="D617" s="33" t="inlineStr">
        <is>
          <t>(wiki del grupo)</t>
        </is>
      </c>
      <c r="E617" s="33" t="inlineStr">
        <is>
          <t>Metadato o tabla auxiliar del perfil de la wiki.</t>
        </is>
      </c>
      <c r="F617" s="33" t="inlineStr">
        <is>
          <t>Texto</t>
        </is>
      </c>
      <c r="G617" s="33" t="inlineStr">
        <is>
          <t>—</t>
        </is>
      </c>
      <c r="H617" s="33" t="inlineStr">
        <is>
          <t>Hong Kong: The Facts – Country Parks and Special Areas</t>
        </is>
      </c>
      <c r="I617" s="33" t="inlineStr">
        <is>
          <t>No</t>
        </is>
      </c>
      <c r="J617" s="33" t="inlineStr">
        <is>
          <t>Hong Kong: The Facts – Country Parks and Special Areas</t>
        </is>
      </c>
      <c r="K617" s="33" t="inlineStr">
        <is>
          <t>Pública</t>
        </is>
      </c>
      <c r="L617" s="33" t="inlineStr">
        <is>
          <t>Copiado de la wiki.</t>
        </is>
      </c>
      <c r="M617" s="33" t="inlineStr">
        <is>
          <t>¿Qué dice el informe oficial a escala de ciudad?</t>
        </is>
      </c>
    </row>
    <row r="618" ht="15.75" customHeight="1" s="24">
      <c r="A618" s="33" t="inlineStr">
        <is>
          <t>F01–F15</t>
        </is>
      </c>
      <c r="B618" s="33" t="inlineStr">
        <is>
          <t>public/data/perfil_wiki.json</t>
        </is>
      </c>
      <c r="C618" s="33" t="inlineStr">
        <is>
          <t>fuentes.F13.entidad</t>
        </is>
      </c>
      <c r="D618" s="33" t="inlineStr">
        <is>
          <t>(wiki del grupo)</t>
        </is>
      </c>
      <c r="E618" s="33" t="inlineStr">
        <is>
          <t>Metadato o tabla auxiliar del perfil de la wiki.</t>
        </is>
      </c>
      <c r="F618" s="33" t="inlineStr">
        <is>
          <t>Texto</t>
        </is>
      </c>
      <c r="G618" s="33" t="inlineStr">
        <is>
          <t>—</t>
        </is>
      </c>
      <c r="H618" s="33" t="inlineStr">
        <is>
          <t>AFCD</t>
        </is>
      </c>
      <c r="I618" s="33" t="inlineStr">
        <is>
          <t>No</t>
        </is>
      </c>
      <c r="J618" s="33" t="inlineStr">
        <is>
          <t>AFCD</t>
        </is>
      </c>
      <c r="K618" s="33" t="inlineStr">
        <is>
          <t>Pública</t>
        </is>
      </c>
      <c r="L618" s="33" t="inlineStr">
        <is>
          <t>Copiado de la wiki.</t>
        </is>
      </c>
      <c r="M618" s="33" t="inlineStr">
        <is>
          <t>¿Qué dice el informe oficial a escala de ciudad?</t>
        </is>
      </c>
    </row>
    <row r="619" ht="15.75" customHeight="1" s="24">
      <c r="A619" s="33" t="inlineStr">
        <is>
          <t>F01–F15</t>
        </is>
      </c>
      <c r="B619" s="33" t="inlineStr">
        <is>
          <t>public/data/perfil_wiki.json</t>
        </is>
      </c>
      <c r="C619" s="33" t="inlineStr">
        <is>
          <t>fuentes.F13.url</t>
        </is>
      </c>
      <c r="D619" s="33" t="inlineStr">
        <is>
          <t>(wiki del grupo)</t>
        </is>
      </c>
      <c r="E619" s="33" t="inlineStr">
        <is>
          <t>Metadato o tabla auxiliar del perfil de la wiki.</t>
        </is>
      </c>
      <c r="F619" s="33" t="inlineStr">
        <is>
          <t>Texto</t>
        </is>
      </c>
      <c r="G619" s="33" t="inlineStr">
        <is>
          <t>—</t>
        </is>
      </c>
      <c r="H619" s="33" t="inlineStr">
        <is>
          <t>https://www.afcd.gov.hk/english/country/cou_lea/the_facts.html</t>
        </is>
      </c>
      <c r="I619" s="33" t="inlineStr">
        <is>
          <t>No</t>
        </is>
      </c>
      <c r="J619" s="33" t="inlineStr">
        <is>
          <t>https://www.afcd.gov.hk/english/country/cou_lea/the_facts.html</t>
        </is>
      </c>
      <c r="K619" s="33" t="inlineStr">
        <is>
          <t>Pública</t>
        </is>
      </c>
      <c r="L619" s="33" t="inlineStr">
        <is>
          <t>Copiado de la wiki.</t>
        </is>
      </c>
      <c r="M619" s="33" t="inlineStr">
        <is>
          <t>¿Qué dice el informe oficial a escala de ciudad?</t>
        </is>
      </c>
    </row>
    <row r="620" ht="15.75" customHeight="1" s="24">
      <c r="A620" s="33" t="inlineStr">
        <is>
          <t>F01–F15</t>
        </is>
      </c>
      <c r="B620" s="33" t="inlineStr">
        <is>
          <t>public/data/perfil_wiki.json</t>
        </is>
      </c>
      <c r="C620" s="33" t="inlineStr">
        <is>
          <t>fuentes.F13.estado</t>
        </is>
      </c>
      <c r="D620" s="33" t="inlineStr">
        <is>
          <t>(wiki del grupo)</t>
        </is>
      </c>
      <c r="E620" s="33" t="inlineStr">
        <is>
          <t>Metadato o tabla auxiliar del perfil de la wiki.</t>
        </is>
      </c>
      <c r="F620" s="33" t="inlineStr">
        <is>
          <t>Texto</t>
        </is>
      </c>
      <c r="G620" s="33" t="inlineStr">
        <is>
          <t>—</t>
        </is>
      </c>
      <c r="H620" s="33" t="inlineStr">
        <is>
          <t>Integrada al lago</t>
        </is>
      </c>
      <c r="I620" s="33" t="inlineStr">
        <is>
          <t>No</t>
        </is>
      </c>
      <c r="J620" s="33" t="inlineStr">
        <is>
          <t>Integrada al lago</t>
        </is>
      </c>
      <c r="K620" s="33" t="inlineStr">
        <is>
          <t>Pública</t>
        </is>
      </c>
      <c r="L620" s="33" t="inlineStr">
        <is>
          <t>Copiado de la wiki.</t>
        </is>
      </c>
      <c r="M620" s="33" t="inlineStr">
        <is>
          <t>¿Qué dice el informe oficial a escala de ciudad?</t>
        </is>
      </c>
    </row>
    <row r="621" ht="15.75" customHeight="1" s="24">
      <c r="A621" s="33" t="inlineStr">
        <is>
          <t>F01–F15</t>
        </is>
      </c>
      <c r="B621" s="33" t="inlineStr">
        <is>
          <t>public/data/perfil_wiki.json</t>
        </is>
      </c>
      <c r="C621" s="33" t="inlineStr">
        <is>
          <t>fuentes.F14.nombre</t>
        </is>
      </c>
      <c r="D621" s="33" t="inlineStr">
        <is>
          <t>(wiki del grupo)</t>
        </is>
      </c>
      <c r="E621" s="33" t="inlineStr">
        <is>
          <t>Metadato o tabla auxiliar del perfil de la wiki.</t>
        </is>
      </c>
      <c r="F621" s="33" t="inlineStr">
        <is>
          <t>Texto</t>
        </is>
      </c>
      <c r="G621" s="33" t="inlineStr">
        <is>
          <t>—</t>
        </is>
      </c>
      <c r="H621" s="33" t="inlineStr">
        <is>
          <t>Hong Kong: The Facts – Water Supplies</t>
        </is>
      </c>
      <c r="I621" s="33" t="inlineStr">
        <is>
          <t>No</t>
        </is>
      </c>
      <c r="J621" s="33" t="inlineStr">
        <is>
          <t>Hong Kong: The Facts – Water Supplies</t>
        </is>
      </c>
      <c r="K621" s="33" t="inlineStr">
        <is>
          <t>Pública</t>
        </is>
      </c>
      <c r="L621" s="33" t="inlineStr">
        <is>
          <t>Copiado de la wiki.</t>
        </is>
      </c>
      <c r="M621" s="33" t="inlineStr">
        <is>
          <t>¿Qué dice el informe oficial a escala de ciudad?</t>
        </is>
      </c>
    </row>
    <row r="622" ht="15.75" customHeight="1" s="24">
      <c r="A622" s="33" t="inlineStr">
        <is>
          <t>F01–F15</t>
        </is>
      </c>
      <c r="B622" s="33" t="inlineStr">
        <is>
          <t>public/data/perfil_wiki.json</t>
        </is>
      </c>
      <c r="C622" s="33" t="inlineStr">
        <is>
          <t>fuentes.F14.entidad</t>
        </is>
      </c>
      <c r="D622" s="33" t="inlineStr">
        <is>
          <t>(wiki del grupo)</t>
        </is>
      </c>
      <c r="E622" s="33" t="inlineStr">
        <is>
          <t>Metadato o tabla auxiliar del perfil de la wiki.</t>
        </is>
      </c>
      <c r="F622" s="33" t="inlineStr">
        <is>
          <t>Texto</t>
        </is>
      </c>
      <c r="G622" s="33" t="inlineStr">
        <is>
          <t>—</t>
        </is>
      </c>
      <c r="H622" s="33" t="inlineStr">
        <is>
          <t>Water Supplies Department (WSD)</t>
        </is>
      </c>
      <c r="I622" s="33" t="inlineStr">
        <is>
          <t>No</t>
        </is>
      </c>
      <c r="J622" s="33" t="inlineStr">
        <is>
          <t>Water Supplies Department (WSD)</t>
        </is>
      </c>
      <c r="K622" s="33" t="inlineStr">
        <is>
          <t>Pública</t>
        </is>
      </c>
      <c r="L622" s="33" t="inlineStr">
        <is>
          <t>Copiado de la wiki.</t>
        </is>
      </c>
      <c r="M622" s="33" t="inlineStr">
        <is>
          <t>¿Qué dice el informe oficial a escala de ciudad?</t>
        </is>
      </c>
    </row>
    <row r="623" ht="15.75" customHeight="1" s="24">
      <c r="A623" s="33" t="inlineStr">
        <is>
          <t>F01–F15</t>
        </is>
      </c>
      <c r="B623" s="33" t="inlineStr">
        <is>
          <t>public/data/perfil_wiki.json</t>
        </is>
      </c>
      <c r="C623" s="33" t="inlineStr">
        <is>
          <t>fuentes.F14.url</t>
        </is>
      </c>
      <c r="D623" s="33" t="inlineStr">
        <is>
          <t>(wiki del grupo)</t>
        </is>
      </c>
      <c r="E623" s="33" t="inlineStr">
        <is>
          <t>Metadato o tabla auxiliar del perfil de la wiki.</t>
        </is>
      </c>
      <c r="F623" s="33" t="inlineStr">
        <is>
          <t>Texto</t>
        </is>
      </c>
      <c r="G623" s="33" t="inlineStr">
        <is>
          <t>—</t>
        </is>
      </c>
      <c r="H623" s="33" t="inlineStr">
        <is>
          <t>https://www.wsd.gov.hk/en/publications-and-statistics/pr-publications/the-facts/…</t>
        </is>
      </c>
      <c r="I623" s="33" t="inlineStr">
        <is>
          <t>No</t>
        </is>
      </c>
      <c r="J623" s="33" t="inlineStr">
        <is>
          <t>https://www.wsd.gov.hk/en/publications-and-statistics/pr-publications/the-facts/index.html</t>
        </is>
      </c>
      <c r="K623" s="33" t="inlineStr">
        <is>
          <t>Pública</t>
        </is>
      </c>
      <c r="L623" s="33" t="inlineStr">
        <is>
          <t>Copiado de la wiki.</t>
        </is>
      </c>
      <c r="M623" s="33" t="inlineStr">
        <is>
          <t>¿Qué dice el informe oficial a escala de ciudad?</t>
        </is>
      </c>
    </row>
    <row r="624" ht="15.75" customHeight="1" s="24">
      <c r="A624" s="33" t="inlineStr">
        <is>
          <t>F01–F15</t>
        </is>
      </c>
      <c r="B624" s="33" t="inlineStr">
        <is>
          <t>public/data/perfil_wiki.json</t>
        </is>
      </c>
      <c r="C624" s="33" t="inlineStr">
        <is>
          <t>fuentes.F14.estado</t>
        </is>
      </c>
      <c r="D624" s="33" t="inlineStr">
        <is>
          <t>(wiki del grupo)</t>
        </is>
      </c>
      <c r="E624" s="33" t="inlineStr">
        <is>
          <t>Metadato o tabla auxiliar del perfil de la wiki.</t>
        </is>
      </c>
      <c r="F624" s="33" t="inlineStr">
        <is>
          <t>Texto</t>
        </is>
      </c>
      <c r="G624" s="33" t="inlineStr">
        <is>
          <t>—</t>
        </is>
      </c>
      <c r="H624" s="33" t="inlineStr">
        <is>
          <t>Integrada al lago</t>
        </is>
      </c>
      <c r="I624" s="33" t="inlineStr">
        <is>
          <t>No</t>
        </is>
      </c>
      <c r="J624" s="33" t="inlineStr">
        <is>
          <t>Integrada al lago</t>
        </is>
      </c>
      <c r="K624" s="33" t="inlineStr">
        <is>
          <t>Pública</t>
        </is>
      </c>
      <c r="L624" s="33" t="inlineStr">
        <is>
          <t>Copiado de la wiki.</t>
        </is>
      </c>
      <c r="M624" s="33" t="inlineStr">
        <is>
          <t>¿Qué dice el informe oficial a escala de ciudad?</t>
        </is>
      </c>
    </row>
    <row r="625" ht="15.75" customHeight="1" s="24">
      <c r="A625" s="33" t="inlineStr">
        <is>
          <t>F01–F15</t>
        </is>
      </c>
      <c r="B625" s="33" t="inlineStr">
        <is>
          <t>public/data/perfil_wiki.json</t>
        </is>
      </c>
      <c r="C625" s="33" t="inlineStr">
        <is>
          <t>fuentes.F15.nombre</t>
        </is>
      </c>
      <c r="D625" s="33" t="inlineStr">
        <is>
          <t>(wiki del grupo)</t>
        </is>
      </c>
      <c r="E625" s="33" t="inlineStr">
        <is>
          <t>Metadato o tabla auxiliar del perfil de la wiki.</t>
        </is>
      </c>
      <c r="F625" s="33" t="inlineStr">
        <is>
          <t>Texto</t>
        </is>
      </c>
      <c r="G625" s="33" t="inlineStr">
        <is>
          <t>—</t>
        </is>
      </c>
      <c r="H625" s="33" t="inlineStr">
        <is>
          <t>State of Hong Kong Biodiversity 2025</t>
        </is>
      </c>
      <c r="I625" s="33" t="inlineStr">
        <is>
          <t>No</t>
        </is>
      </c>
      <c r="J625" s="33" t="inlineStr">
        <is>
          <t>State of Hong Kong Biodiversity 2025</t>
        </is>
      </c>
      <c r="K625" s="33" t="inlineStr">
        <is>
          <t>Pública</t>
        </is>
      </c>
      <c r="L625" s="33" t="inlineStr">
        <is>
          <t>Copiado de la wiki.</t>
        </is>
      </c>
      <c r="M625" s="33" t="inlineStr">
        <is>
          <t>¿Qué dice el informe oficial a escala de ciudad?</t>
        </is>
      </c>
    </row>
    <row r="626" ht="15.75" customHeight="1" s="24">
      <c r="A626" s="33" t="inlineStr">
        <is>
          <t>F01–F15</t>
        </is>
      </c>
      <c r="B626" s="33" t="inlineStr">
        <is>
          <t>public/data/perfil_wiki.json</t>
        </is>
      </c>
      <c r="C626" s="33" t="inlineStr">
        <is>
          <t>fuentes.F15.entidad</t>
        </is>
      </c>
      <c r="D626" s="33" t="inlineStr">
        <is>
          <t>(wiki del grupo)</t>
        </is>
      </c>
      <c r="E626" s="33" t="inlineStr">
        <is>
          <t>Metadato o tabla auxiliar del perfil de la wiki.</t>
        </is>
      </c>
      <c r="F626" s="33" t="inlineStr">
        <is>
          <t>Texto</t>
        </is>
      </c>
      <c r="G626" s="33" t="inlineStr">
        <is>
          <t>—</t>
        </is>
      </c>
      <c r="H626" s="33" t="inlineStr">
        <is>
          <t>WWF-Hong Kong</t>
        </is>
      </c>
      <c r="I626" s="33" t="inlineStr">
        <is>
          <t>No</t>
        </is>
      </c>
      <c r="J626" s="33" t="inlineStr">
        <is>
          <t>WWF-Hong Kong</t>
        </is>
      </c>
      <c r="K626" s="33" t="inlineStr">
        <is>
          <t>Pública</t>
        </is>
      </c>
      <c r="L626" s="33" t="inlineStr">
        <is>
          <t>Copiado de la wiki.</t>
        </is>
      </c>
      <c r="M626" s="33" t="inlineStr">
        <is>
          <t>¿Qué dice el informe oficial a escala de ciudad?</t>
        </is>
      </c>
    </row>
    <row r="627" ht="15.75" customHeight="1" s="24">
      <c r="A627" s="33" t="inlineStr">
        <is>
          <t>F01–F15</t>
        </is>
      </c>
      <c r="B627" s="33" t="inlineStr">
        <is>
          <t>public/data/perfil_wiki.json</t>
        </is>
      </c>
      <c r="C627" s="33" t="inlineStr">
        <is>
          <t>fuentes.F15.url</t>
        </is>
      </c>
      <c r="D627" s="33" t="inlineStr">
        <is>
          <t>(wiki del grupo)</t>
        </is>
      </c>
      <c r="E627" s="33" t="inlineStr">
        <is>
          <t>Metadato o tabla auxiliar del perfil de la wiki.</t>
        </is>
      </c>
      <c r="F627" s="33" t="inlineStr">
        <is>
          <t>Texto</t>
        </is>
      </c>
      <c r="G627" s="33" t="inlineStr">
        <is>
          <t>—</t>
        </is>
      </c>
      <c r="H627" s="33" t="inlineStr">
        <is>
          <t>https://www.wwf.org.hk/en/biodiversity/</t>
        </is>
      </c>
      <c r="I627" s="33" t="inlineStr">
        <is>
          <t>No</t>
        </is>
      </c>
      <c r="J627" s="33" t="inlineStr">
        <is>
          <t>https://www.wwf.org.hk/en/biodiversity/</t>
        </is>
      </c>
      <c r="K627" s="33" t="inlineStr">
        <is>
          <t>Pública</t>
        </is>
      </c>
      <c r="L627" s="33" t="inlineStr">
        <is>
          <t>Copiado de la wiki.</t>
        </is>
      </c>
      <c r="M627" s="33" t="inlineStr">
        <is>
          <t>¿Qué dice el informe oficial a escala de ciudad?</t>
        </is>
      </c>
    </row>
    <row r="628" ht="15.75" customHeight="1" s="24">
      <c r="A628" s="33" t="inlineStr">
        <is>
          <t>F01–F15</t>
        </is>
      </c>
      <c r="B628" s="33" t="inlineStr">
        <is>
          <t>public/data/perfil_wiki.json</t>
        </is>
      </c>
      <c r="C628" s="33" t="inlineStr">
        <is>
          <t>fuentes.F15.estado</t>
        </is>
      </c>
      <c r="D628" s="33" t="inlineStr">
        <is>
          <t>(wiki del grupo)</t>
        </is>
      </c>
      <c r="E628" s="33" t="inlineStr">
        <is>
          <t>Metadato o tabla auxiliar del perfil de la wiki.</t>
        </is>
      </c>
      <c r="F628" s="33" t="inlineStr">
        <is>
          <t>Texto</t>
        </is>
      </c>
      <c r="G628" s="33" t="inlineStr">
        <is>
          <t>—</t>
        </is>
      </c>
      <c r="H628" s="33" t="inlineStr">
        <is>
          <t>Integrada al lago</t>
        </is>
      </c>
      <c r="I628" s="33" t="inlineStr">
        <is>
          <t>No</t>
        </is>
      </c>
      <c r="J628" s="33" t="inlineStr">
        <is>
          <t>Integrada al lago</t>
        </is>
      </c>
      <c r="K628" s="33" t="inlineStr">
        <is>
          <t>Pública</t>
        </is>
      </c>
      <c r="L628" s="33" t="inlineStr">
        <is>
          <t>Copiado de la wiki.</t>
        </is>
      </c>
      <c r="M628" s="33" t="inlineStr">
        <is>
          <t>¿Qué dice el informe oficial a escala de ciudad?</t>
        </is>
      </c>
    </row>
    <row r="629" ht="15.75" customHeight="1" s="24">
      <c r="A629" s="33" t="inlineStr">
        <is>
          <t>F01–F15</t>
        </is>
      </c>
      <c r="B629" s="33" t="inlineStr">
        <is>
          <t>public/data/perfil_wiki.json</t>
        </is>
      </c>
      <c r="C629" s="33" t="inlineStr">
        <is>
          <t>fuentes.F16.nombre</t>
        </is>
      </c>
      <c r="D629" s="33" t="inlineStr">
        <is>
          <t>(wiki del grupo)</t>
        </is>
      </c>
      <c r="E629" s="33" t="inlineStr">
        <is>
          <t>Metadato o tabla auxiliar del perfil de la wiki.</t>
        </is>
      </c>
      <c r="F629" s="33" t="inlineStr">
        <is>
          <t>Texto</t>
        </is>
      </c>
      <c r="G629" s="33" t="inlineStr">
        <is>
          <t>—</t>
        </is>
      </c>
      <c r="H629" s="33" t="inlineStr">
        <is>
          <t>Pobreza por distrito y demografía</t>
        </is>
      </c>
      <c r="I629" s="33" t="inlineStr">
        <is>
          <t>No</t>
        </is>
      </c>
      <c r="J629" s="33" t="inlineStr">
        <is>
          <t>Pobreza por distrito y demografía</t>
        </is>
      </c>
      <c r="K629" s="33" t="inlineStr">
        <is>
          <t>Pública</t>
        </is>
      </c>
      <c r="L629" s="33" t="inlineStr">
        <is>
          <t>Copiado de la wiki.</t>
        </is>
      </c>
      <c r="M629" s="33" t="inlineStr">
        <is>
          <t>¿Qué dice el informe oficial a escala de ciudad?</t>
        </is>
      </c>
    </row>
    <row r="630" ht="15.75" customHeight="1" s="24">
      <c r="A630" s="33" t="inlineStr">
        <is>
          <t>F01–F15</t>
        </is>
      </c>
      <c r="B630" s="33" t="inlineStr">
        <is>
          <t>public/data/perfil_wiki.json</t>
        </is>
      </c>
      <c r="C630" s="33" t="inlineStr">
        <is>
          <t>fuentes.F16.entidad</t>
        </is>
      </c>
      <c r="D630" s="33" t="inlineStr">
        <is>
          <t>(wiki del grupo)</t>
        </is>
      </c>
      <c r="E630" s="33" t="inlineStr">
        <is>
          <t>Metadato o tabla auxiliar del perfil de la wiki.</t>
        </is>
      </c>
      <c r="F630" s="33" t="inlineStr">
        <is>
          <t>Texto</t>
        </is>
      </c>
      <c r="G630" s="33" t="inlineStr">
        <is>
          <t>—</t>
        </is>
      </c>
      <c r="H630" s="33" t="inlineStr">
        <is>
          <t>Social Indicators of Hong Kong</t>
        </is>
      </c>
      <c r="I630" s="33" t="inlineStr">
        <is>
          <t>No</t>
        </is>
      </c>
      <c r="J630" s="33" t="inlineStr">
        <is>
          <t>Social Indicators of Hong Kong</t>
        </is>
      </c>
      <c r="K630" s="33" t="inlineStr">
        <is>
          <t>Pública</t>
        </is>
      </c>
      <c r="L630" s="33" t="inlineStr">
        <is>
          <t>Copiado de la wiki.</t>
        </is>
      </c>
      <c r="M630" s="33" t="inlineStr">
        <is>
          <t>¿Qué dice el informe oficial a escala de ciudad?</t>
        </is>
      </c>
    </row>
    <row r="631" ht="15.75" customHeight="1" s="24">
      <c r="A631" s="33" t="inlineStr">
        <is>
          <t>F01–F15</t>
        </is>
      </c>
      <c r="B631" s="33" t="inlineStr">
        <is>
          <t>public/data/perfil_wiki.json</t>
        </is>
      </c>
      <c r="C631" s="33" t="inlineStr">
        <is>
          <t>fuentes.F16.url</t>
        </is>
      </c>
      <c r="D631" s="33" t="inlineStr">
        <is>
          <t>(wiki del grupo)</t>
        </is>
      </c>
      <c r="E631" s="33" t="inlineStr">
        <is>
          <t>Metadato o tabla auxiliar del perfil de la wiki.</t>
        </is>
      </c>
      <c r="F631" s="33" t="inlineStr">
        <is>
          <t>Texto</t>
        </is>
      </c>
      <c r="G631" s="33" t="inlineStr">
        <is>
          <t>—</t>
        </is>
      </c>
      <c r="H631" s="33" t="inlineStr">
        <is>
          <t>https://socialindicators.org.hk/how-many-hong-kong-residents-live-in-poverty-bre…</t>
        </is>
      </c>
      <c r="I631" s="33" t="inlineStr">
        <is>
          <t>No</t>
        </is>
      </c>
      <c r="J631" s="33" t="inlineStr">
        <is>
          <t>https://socialindicators.org.hk/how-many-hong-kong-residents-live-in-poverty-breaking-down-the-latest-statistics-by-district-and-demographics/</t>
        </is>
      </c>
      <c r="K631" s="33" t="inlineStr">
        <is>
          <t>Pública</t>
        </is>
      </c>
      <c r="L631" s="33" t="inlineStr">
        <is>
          <t>Copiado de la wiki.</t>
        </is>
      </c>
      <c r="M631" s="33" t="inlineStr">
        <is>
          <t>¿Qué dice el informe oficial a escala de ciudad?</t>
        </is>
      </c>
    </row>
    <row r="632" ht="15.75" customHeight="1" s="24">
      <c r="A632" s="33" t="inlineStr">
        <is>
          <t>F01–F15</t>
        </is>
      </c>
      <c r="B632" s="33" t="inlineStr">
        <is>
          <t>public/data/perfil_wiki.json</t>
        </is>
      </c>
      <c r="C632" s="33" t="inlineStr">
        <is>
          <t>fuentes.F16.estado</t>
        </is>
      </c>
      <c r="D632" s="33" t="inlineStr">
        <is>
          <t>(wiki del grupo)</t>
        </is>
      </c>
      <c r="E632" s="33" t="inlineStr">
        <is>
          <t>Metadato o tabla auxiliar del perfil de la wiki.</t>
        </is>
      </c>
      <c r="F632" s="33" t="inlineStr">
        <is>
          <t>Texto</t>
        </is>
      </c>
      <c r="G632" s="33" t="inlineStr">
        <is>
          <t>—</t>
        </is>
      </c>
      <c r="H632" s="33" t="inlineStr">
        <is>
          <t>Candidata</t>
        </is>
      </c>
      <c r="I632" s="33" t="inlineStr">
        <is>
          <t>No</t>
        </is>
      </c>
      <c r="J632" s="33" t="inlineStr">
        <is>
          <t>Candidata</t>
        </is>
      </c>
      <c r="K632" s="33" t="inlineStr">
        <is>
          <t>Pública</t>
        </is>
      </c>
      <c r="L632" s="33" t="inlineStr">
        <is>
          <t>Copiado de la wiki.</t>
        </is>
      </c>
      <c r="M632" s="33" t="inlineStr">
        <is>
          <t>¿Qué dice el informe oficial a escala de ciudad?</t>
        </is>
      </c>
    </row>
    <row r="633" ht="15.75" customHeight="1" s="24">
      <c r="A633" s="33" t="inlineStr">
        <is>
          <t>F01–F15</t>
        </is>
      </c>
      <c r="B633" s="33" t="inlineStr">
        <is>
          <t>public/data/perfil_wiki.json</t>
        </is>
      </c>
      <c r="C633" s="33" t="inlineStr">
        <is>
          <t>fuentes.F17.nombre</t>
        </is>
      </c>
      <c r="D633" s="33" t="inlineStr">
        <is>
          <t>(wiki del grupo)</t>
        </is>
      </c>
      <c r="E633" s="33" t="inlineStr">
        <is>
          <t>Metadato o tabla auxiliar del perfil de la wiki.</t>
        </is>
      </c>
      <c r="F633" s="33" t="inlineStr">
        <is>
          <t>Texto</t>
        </is>
      </c>
      <c r="G633" s="33" t="inlineStr">
        <is>
          <t>—</t>
        </is>
      </c>
      <c r="H633" s="33" t="inlineStr">
        <is>
          <t>Serie histórica de fecundidad (TFR)</t>
        </is>
      </c>
      <c r="I633" s="33" t="inlineStr">
        <is>
          <t>No</t>
        </is>
      </c>
      <c r="J633" s="33" t="inlineStr">
        <is>
          <t>Serie histórica de fecundidad (TFR)</t>
        </is>
      </c>
      <c r="K633" s="33" t="inlineStr">
        <is>
          <t>Pública</t>
        </is>
      </c>
      <c r="L633" s="33" t="inlineStr">
        <is>
          <t>Copiado de la wiki.</t>
        </is>
      </c>
      <c r="M633" s="33" t="inlineStr">
        <is>
          <t>¿Qué dice el informe oficial a escala de ciudad?</t>
        </is>
      </c>
    </row>
    <row r="634" ht="15.75" customHeight="1" s="24">
      <c r="A634" s="33" t="inlineStr">
        <is>
          <t>F01–F15</t>
        </is>
      </c>
      <c r="B634" s="33" t="inlineStr">
        <is>
          <t>public/data/perfil_wiki.json</t>
        </is>
      </c>
      <c r="C634" s="33" t="inlineStr">
        <is>
          <t>fuentes.F17.entidad</t>
        </is>
      </c>
      <c r="D634" s="33" t="inlineStr">
        <is>
          <t>(wiki del grupo)</t>
        </is>
      </c>
      <c r="E634" s="33" t="inlineStr">
        <is>
          <t>Metadato o tabla auxiliar del perfil de la wiki.</t>
        </is>
      </c>
      <c r="F634" s="33" t="inlineStr">
        <is>
          <t>Texto</t>
        </is>
      </c>
      <c r="G634" s="33" t="inlineStr">
        <is>
          <t>—</t>
        </is>
      </c>
      <c r="H634" s="33" t="inlineStr">
        <is>
          <t>Macrotrends</t>
        </is>
      </c>
      <c r="I634" s="33" t="inlineStr">
        <is>
          <t>No</t>
        </is>
      </c>
      <c r="J634" s="33" t="inlineStr">
        <is>
          <t>Macrotrends</t>
        </is>
      </c>
      <c r="K634" s="33" t="inlineStr">
        <is>
          <t>Pública</t>
        </is>
      </c>
      <c r="L634" s="33" t="inlineStr">
        <is>
          <t>Copiado de la wiki.</t>
        </is>
      </c>
      <c r="M634" s="33" t="inlineStr">
        <is>
          <t>¿Qué dice el informe oficial a escala de ciudad?</t>
        </is>
      </c>
    </row>
    <row r="635" ht="15.75" customHeight="1" s="24">
      <c r="A635" s="33" t="inlineStr">
        <is>
          <t>F01–F15</t>
        </is>
      </c>
      <c r="B635" s="33" t="inlineStr">
        <is>
          <t>public/data/perfil_wiki.json</t>
        </is>
      </c>
      <c r="C635" s="33" t="inlineStr">
        <is>
          <t>fuentes.F17.url</t>
        </is>
      </c>
      <c r="D635" s="33" t="inlineStr">
        <is>
          <t>(wiki del grupo)</t>
        </is>
      </c>
      <c r="E635" s="33" t="inlineStr">
        <is>
          <t>Metadato o tabla auxiliar del perfil de la wiki.</t>
        </is>
      </c>
      <c r="F635" s="33" t="inlineStr">
        <is>
          <t>Texto</t>
        </is>
      </c>
      <c r="G635" s="33" t="inlineStr">
        <is>
          <t>—</t>
        </is>
      </c>
      <c r="H635" s="33" t="inlineStr">
        <is>
          <t>https://www.macrotrends.net/global-metrics/countries/hkg/hong-kong/fertility-rat…</t>
        </is>
      </c>
      <c r="I635" s="33" t="inlineStr">
        <is>
          <t>No</t>
        </is>
      </c>
      <c r="J635" s="33" t="inlineStr">
        <is>
          <t>https://www.macrotrends.net/global-metrics/countries/hkg/hong-kong/fertility-rate</t>
        </is>
      </c>
      <c r="K635" s="33" t="inlineStr">
        <is>
          <t>Pública</t>
        </is>
      </c>
      <c r="L635" s="33" t="inlineStr">
        <is>
          <t>Copiado de la wiki.</t>
        </is>
      </c>
      <c r="M635" s="33" t="inlineStr">
        <is>
          <t>¿Qué dice el informe oficial a escala de ciudad?</t>
        </is>
      </c>
    </row>
    <row r="636" ht="15.75" customHeight="1" s="24">
      <c r="A636" s="33" t="inlineStr">
        <is>
          <t>F01–F15</t>
        </is>
      </c>
      <c r="B636" s="33" t="inlineStr">
        <is>
          <t>public/data/perfil_wiki.json</t>
        </is>
      </c>
      <c r="C636" s="33" t="inlineStr">
        <is>
          <t>fuentes.F17.estado</t>
        </is>
      </c>
      <c r="D636" s="33" t="inlineStr">
        <is>
          <t>(wiki del grupo)</t>
        </is>
      </c>
      <c r="E636" s="33" t="inlineStr">
        <is>
          <t>Metadato o tabla auxiliar del perfil de la wiki.</t>
        </is>
      </c>
      <c r="F636" s="33" t="inlineStr">
        <is>
          <t>Texto</t>
        </is>
      </c>
      <c r="G636" s="33" t="inlineStr">
        <is>
          <t>—</t>
        </is>
      </c>
      <c r="H636" s="33" t="inlineStr">
        <is>
          <t>Descartada</t>
        </is>
      </c>
      <c r="I636" s="33" t="inlineStr">
        <is>
          <t>No</t>
        </is>
      </c>
      <c r="J636" s="33" t="inlineStr">
        <is>
          <t>Descartada</t>
        </is>
      </c>
      <c r="K636" s="33" t="inlineStr">
        <is>
          <t>Pública</t>
        </is>
      </c>
      <c r="L636" s="33" t="inlineStr">
        <is>
          <t>Copiado de la wiki.</t>
        </is>
      </c>
      <c r="M636" s="33" t="inlineStr">
        <is>
          <t>¿Qué dice el informe oficial a escala de ciudad?</t>
        </is>
      </c>
    </row>
    <row r="637" ht="15.75" customHeight="1" s="24">
      <c r="A637" s="33" t="inlineStr">
        <is>
          <t>F01–F15</t>
        </is>
      </c>
      <c r="B637" s="33" t="inlineStr">
        <is>
          <t>public/data/perfil_wiki.json</t>
        </is>
      </c>
      <c r="C637" s="33" t="inlineStr">
        <is>
          <t>fuentes.F18.nombre</t>
        </is>
      </c>
      <c r="D637" s="33" t="inlineStr">
        <is>
          <t>(wiki del grupo)</t>
        </is>
      </c>
      <c r="E637" s="33" t="inlineStr">
        <is>
          <t>Metadato o tabla auxiliar del perfil de la wiki.</t>
        </is>
      </c>
      <c r="F637" s="33" t="inlineStr">
        <is>
          <t>Texto</t>
        </is>
      </c>
      <c r="G637" s="33" t="inlineStr">
        <is>
          <t>—</t>
        </is>
      </c>
      <c r="H637" s="33" t="inlineStr">
        <is>
          <t>Esperanza de vida por distrito (2016)</t>
        </is>
      </c>
      <c r="I637" s="33" t="inlineStr">
        <is>
          <t>No</t>
        </is>
      </c>
      <c r="J637" s="33" t="inlineStr">
        <is>
          <t>Esperanza de vida por distrito (2016)</t>
        </is>
      </c>
      <c r="K637" s="33" t="inlineStr">
        <is>
          <t>Pública</t>
        </is>
      </c>
      <c r="L637" s="33" t="inlineStr">
        <is>
          <t>Copiado de la wiki.</t>
        </is>
      </c>
      <c r="M637" s="33" t="inlineStr">
        <is>
          <t>¿Qué dice el informe oficial a escala de ciudad?</t>
        </is>
      </c>
    </row>
    <row r="638" ht="15.75" customHeight="1" s="24">
      <c r="A638" s="33" t="inlineStr">
        <is>
          <t>F01–F15</t>
        </is>
      </c>
      <c r="B638" s="33" t="inlineStr">
        <is>
          <t>public/data/perfil_wiki.json</t>
        </is>
      </c>
      <c r="C638" s="33" t="inlineStr">
        <is>
          <t>fuentes.F18.entidad</t>
        </is>
      </c>
      <c r="D638" s="33" t="inlineStr">
        <is>
          <t>(wiki del grupo)</t>
        </is>
      </c>
      <c r="E638" s="33" t="inlineStr">
        <is>
          <t>Metadato o tabla auxiliar del perfil de la wiki.</t>
        </is>
      </c>
      <c r="F638" s="33" t="inlineStr">
        <is>
          <t>Texto</t>
        </is>
      </c>
      <c r="G638" s="33" t="inlineStr">
        <is>
          <t>—</t>
        </is>
      </c>
      <c r="H638" s="33" t="inlineStr">
        <is>
          <t>IPC / International Population Conference</t>
        </is>
      </c>
      <c r="I638" s="33" t="inlineStr">
        <is>
          <t>No</t>
        </is>
      </c>
      <c r="J638" s="33" t="inlineStr">
        <is>
          <t>IPC / International Population Conference</t>
        </is>
      </c>
      <c r="K638" s="33" t="inlineStr">
        <is>
          <t>Pública</t>
        </is>
      </c>
      <c r="L638" s="33" t="inlineStr">
        <is>
          <t>Copiado de la wiki.</t>
        </is>
      </c>
      <c r="M638" s="33" t="inlineStr">
        <is>
          <t>¿Qué dice el informe oficial a escala de ciudad?</t>
        </is>
      </c>
    </row>
    <row r="639" ht="15.75" customHeight="1" s="24">
      <c r="A639" s="33" t="inlineStr">
        <is>
          <t>F01–F15</t>
        </is>
      </c>
      <c r="B639" s="33" t="inlineStr">
        <is>
          <t>public/data/perfil_wiki.json</t>
        </is>
      </c>
      <c r="C639" s="33" t="inlineStr">
        <is>
          <t>fuentes.F18.url</t>
        </is>
      </c>
      <c r="D639" s="33" t="inlineStr">
        <is>
          <t>(wiki del grupo)</t>
        </is>
      </c>
      <c r="E639" s="33" t="inlineStr">
        <is>
          <t>Metadato o tabla auxiliar del perfil de la wiki.</t>
        </is>
      </c>
      <c r="F639" s="33" t="inlineStr">
        <is>
          <t>Texto</t>
        </is>
      </c>
      <c r="G639" s="33" t="inlineStr">
        <is>
          <t>—</t>
        </is>
      </c>
      <c r="H639" s="33" t="inlineStr">
        <is>
          <t>http://ipc2025.popconf.org/uploads/250834</t>
        </is>
      </c>
      <c r="I639" s="33" t="inlineStr">
        <is>
          <t>No</t>
        </is>
      </c>
      <c r="J639" s="33" t="inlineStr">
        <is>
          <t>http://ipc2025.popconf.org/uploads/250834</t>
        </is>
      </c>
      <c r="K639" s="33" t="inlineStr">
        <is>
          <t>Pública</t>
        </is>
      </c>
      <c r="L639" s="33" t="inlineStr">
        <is>
          <t>Copiado de la wiki.</t>
        </is>
      </c>
      <c r="M639" s="33" t="inlineStr">
        <is>
          <t>¿Qué dice el informe oficial a escala de ciudad?</t>
        </is>
      </c>
    </row>
    <row r="640" ht="15.75" customHeight="1" s="24">
      <c r="A640" s="33" t="inlineStr">
        <is>
          <t>F01–F15</t>
        </is>
      </c>
      <c r="B640" s="33" t="inlineStr">
        <is>
          <t>public/data/perfil_wiki.json</t>
        </is>
      </c>
      <c r="C640" s="33" t="inlineStr">
        <is>
          <t>fuentes.F18.estado</t>
        </is>
      </c>
      <c r="D640" s="33" t="inlineStr">
        <is>
          <t>(wiki del grupo)</t>
        </is>
      </c>
      <c r="E640" s="33" t="inlineStr">
        <is>
          <t>Metadato o tabla auxiliar del perfil de la wiki.</t>
        </is>
      </c>
      <c r="F640" s="33" t="inlineStr">
        <is>
          <t>Texto</t>
        </is>
      </c>
      <c r="G640" s="33" t="inlineStr">
        <is>
          <t>—</t>
        </is>
      </c>
      <c r="H640" s="33" t="inlineStr">
        <is>
          <t>Candidata</t>
        </is>
      </c>
      <c r="I640" s="33" t="inlineStr">
        <is>
          <t>No</t>
        </is>
      </c>
      <c r="J640" s="33" t="inlineStr">
        <is>
          <t>Candidata</t>
        </is>
      </c>
      <c r="K640" s="33" t="inlineStr">
        <is>
          <t>Pública</t>
        </is>
      </c>
      <c r="L640" s="33" t="inlineStr">
        <is>
          <t>Copiado de la wiki.</t>
        </is>
      </c>
      <c r="M640" s="33" t="inlineStr">
        <is>
          <t>¿Qué dice el informe oficial a escala de ciudad?</t>
        </is>
      </c>
    </row>
    <row r="641" ht="15.75" customHeight="1" s="24">
      <c r="A641" s="33" t="inlineStr">
        <is>
          <t>F01–F45</t>
        </is>
      </c>
      <c r="B641" s="33" t="inlineStr">
        <is>
          <t>public/data/fuentes.json</t>
        </is>
      </c>
      <c r="C641" s="33" t="inlineStr">
        <is>
          <t>fecha_licencias</t>
        </is>
      </c>
      <c r="D641" s="33" t="inlineStr">
        <is>
          <t>(catálogo único)</t>
        </is>
      </c>
      <c r="E641" s="33" t="inlineStr">
        <is>
          <t>Campo «fecha_licencias» de la ficha de cada fuente del catálogo.</t>
        </is>
      </c>
      <c r="F641" s="33" t="inlineStr">
        <is>
          <t>Fecha</t>
        </is>
      </c>
      <c r="G641" s="33" t="inlineStr">
        <is>
          <t>—</t>
        </is>
      </c>
      <c r="H641" s="33" t="inlineStr">
        <is>
          <t>2026-10-26</t>
        </is>
      </c>
      <c r="I641" s="33" t="inlineStr">
        <is>
          <t>No</t>
        </is>
      </c>
      <c r="J641" s="33" t="inlineStr">
        <is>
          <t>2026-10-26</t>
        </is>
      </c>
      <c r="K641" s="33" t="inlineStr">
        <is>
          <t>Pública</t>
        </is>
      </c>
      <c r="L641" s="33" t="inlineStr">
        <is>
          <t>Generado por pipeline/catalogo_unico.py; licencias copiadas literalmente en inglés.</t>
        </is>
      </c>
      <c r="M641" s="33" t="inlineStr">
        <is>
          <t>¿De dónde sale cada dato y bajo qué licencia?</t>
        </is>
      </c>
    </row>
    <row r="642" ht="15.75" customHeight="1" s="24">
      <c r="A642" s="33" t="inlineStr">
        <is>
          <t>F01–F45</t>
        </is>
      </c>
      <c r="B642" s="33" t="inlineStr">
        <is>
          <t>public/data/fuentes.json</t>
        </is>
      </c>
      <c r="C642" s="33" t="inlineStr">
        <is>
          <t>nota</t>
        </is>
      </c>
      <c r="D642" s="33" t="inlineStr">
        <is>
          <t>(catálogo único)</t>
        </is>
      </c>
      <c r="E642" s="33" t="inlineStr">
        <is>
          <t>Campo «nota» de la ficha de cada fuente del catálogo.</t>
        </is>
      </c>
      <c r="F642" s="33" t="inlineStr">
        <is>
          <t>Texto</t>
        </is>
      </c>
      <c r="G642" s="33" t="inlineStr">
        <is>
          <t>—</t>
        </is>
      </c>
      <c r="H642" s="33" t="inlineStr">
        <is>
          <t>Catálogo único: F01–F18 del equipo (wiki), F19–F34 del pipeline, F35–F45 probada…</t>
        </is>
      </c>
      <c r="I642" s="33" t="inlineStr">
        <is>
          <t>No</t>
        </is>
      </c>
      <c r="J642" s="33" t="inlineStr">
        <is>
          <t>Catálogo único: F01–F18 del equipo (wiki), F19–F34 del pipeline, F35–F45 probadas y no integradas.</t>
        </is>
      </c>
      <c r="K642" s="33" t="inlineStr">
        <is>
          <t>Pública</t>
        </is>
      </c>
      <c r="L642" s="33" t="inlineStr">
        <is>
          <t>Generado por pipeline/catalogo_unico.py; licencias copiadas literalmente en inglés.</t>
        </is>
      </c>
      <c r="M642" s="33" t="inlineStr">
        <is>
          <t>¿De dónde sale cada dato y bajo qué licencia?</t>
        </is>
      </c>
    </row>
    <row r="643" ht="15.75" customHeight="1" s="24">
      <c r="A643" s="33" t="inlineStr">
        <is>
          <t>F01–F45</t>
        </is>
      </c>
      <c r="B643" s="33" t="inlineStr">
        <is>
          <t>public/data/fuentes.json</t>
        </is>
      </c>
      <c r="C643" s="33" t="inlineStr">
        <is>
          <t>fuentes[].id</t>
        </is>
      </c>
      <c r="D643" s="33" t="inlineStr">
        <is>
          <t>(catálogo único)</t>
        </is>
      </c>
      <c r="E643" s="33" t="inlineStr">
        <is>
          <t>Campo «id» de la ficha de cada fuente del catálogo.</t>
        </is>
      </c>
      <c r="F643" s="33" t="inlineStr">
        <is>
          <t>Texto</t>
        </is>
      </c>
      <c r="G643" s="33" t="inlineStr">
        <is>
          <t>—</t>
        </is>
      </c>
      <c r="H643" s="33" t="inlineStr">
        <is>
          <t>F01</t>
        </is>
      </c>
      <c r="I643" s="33" t="inlineStr">
        <is>
          <t>No</t>
        </is>
      </c>
      <c r="J643" s="33" t="inlineStr">
        <is>
          <t>45 valores distintos</t>
        </is>
      </c>
      <c r="K643" s="33" t="inlineStr">
        <is>
          <t>Pública</t>
        </is>
      </c>
      <c r="L643" s="33" t="inlineStr">
        <is>
          <t>Generado por pipeline/catalogo_unico.py; licencias copiadas literalmente en inglés.</t>
        </is>
      </c>
      <c r="M643" s="33" t="inlineStr">
        <is>
          <t>¿De dónde sale cada dato y bajo qué licencia?</t>
        </is>
      </c>
    </row>
    <row r="644" ht="15.75" customHeight="1" s="24">
      <c r="A644" s="33" t="inlineStr">
        <is>
          <t>F01–F45</t>
        </is>
      </c>
      <c r="B644" s="33" t="inlineStr">
        <is>
          <t>public/data/fuentes.json</t>
        </is>
      </c>
      <c r="C644" s="33" t="inlineStr">
        <is>
          <t>fuentes[].nombre</t>
        </is>
      </c>
      <c r="D644" s="33" t="inlineStr">
        <is>
          <t>(catálogo único)</t>
        </is>
      </c>
      <c r="E644" s="33" t="inlineStr">
        <is>
          <t>Campo «nombre» de la ficha de cada fuente del catálogo.</t>
        </is>
      </c>
      <c r="F644" s="33" t="inlineStr">
        <is>
          <t>Texto</t>
        </is>
      </c>
      <c r="G644" s="33" t="inlineStr">
        <is>
          <t>—</t>
        </is>
      </c>
      <c r="H644" s="33" t="inlineStr">
        <is>
          <t>Estimación de población a mediados de 2026</t>
        </is>
      </c>
      <c r="I644" s="33" t="inlineStr">
        <is>
          <t>No</t>
        </is>
      </c>
      <c r="J644" s="33" t="inlineStr">
        <is>
          <t>45 valores distintos</t>
        </is>
      </c>
      <c r="K644" s="33" t="inlineStr">
        <is>
          <t>Pública</t>
        </is>
      </c>
      <c r="L644" s="33" t="inlineStr">
        <is>
          <t>Generado por pipeline/catalogo_unico.py; licencias copiadas literalmente en inglés.</t>
        </is>
      </c>
      <c r="M644" s="33" t="inlineStr">
        <is>
          <t>¿De dónde sale cada dato y bajo qué licencia?</t>
        </is>
      </c>
    </row>
    <row r="645" ht="15.75" customHeight="1" s="24">
      <c r="A645" s="33" t="inlineStr">
        <is>
          <t>F01–F45</t>
        </is>
      </c>
      <c r="B645" s="33" t="inlineStr">
        <is>
          <t>public/data/fuentes.json</t>
        </is>
      </c>
      <c r="C645" s="33" t="inlineStr">
        <is>
          <t>fuentes[].entidad</t>
        </is>
      </c>
      <c r="D645" s="33" t="inlineStr">
        <is>
          <t>(catálogo único)</t>
        </is>
      </c>
      <c r="E645" s="33" t="inlineStr">
        <is>
          <t>Campo «entidad» de la ficha de cada fuente del catálogo.</t>
        </is>
      </c>
      <c r="F645" s="33" t="inlineStr">
        <is>
          <t>Texto</t>
        </is>
      </c>
      <c r="G645" s="33" t="inlineStr">
        <is>
          <t>—</t>
        </is>
      </c>
      <c r="H645" s="33" t="inlineStr">
        <is>
          <t>Census and Statistics Department (C&amp;SD)</t>
        </is>
      </c>
      <c r="I645" s="33" t="inlineStr">
        <is>
          <t>No</t>
        </is>
      </c>
      <c r="J645" s="33" t="inlineStr">
        <is>
          <t>37 valores distintos</t>
        </is>
      </c>
      <c r="K645" s="33" t="inlineStr">
        <is>
          <t>Pública</t>
        </is>
      </c>
      <c r="L645" s="33" t="inlineStr">
        <is>
          <t>Generado por pipeline/catalogo_unico.py; licencias copiadas literalmente en inglés.</t>
        </is>
      </c>
      <c r="M645" s="33" t="inlineStr">
        <is>
          <t>¿De dónde sale cada dato y bajo qué licencia?</t>
        </is>
      </c>
    </row>
    <row r="646" ht="15.75" customHeight="1" s="24">
      <c r="A646" s="33" t="inlineStr">
        <is>
          <t>F01–F45</t>
        </is>
      </c>
      <c r="B646" s="33" t="inlineStr">
        <is>
          <t>public/data/fuentes.json</t>
        </is>
      </c>
      <c r="C646" s="33" t="inlineStr">
        <is>
          <t>fuentes[].tipo_publicador</t>
        </is>
      </c>
      <c r="D646" s="33" t="inlineStr">
        <is>
          <t>(catálogo único)</t>
        </is>
      </c>
      <c r="E646" s="33" t="inlineStr">
        <is>
          <t>Campo «tipo_publicador» de la ficha de cada fuente del catálogo.</t>
        </is>
      </c>
      <c r="F646" s="33" t="inlineStr">
        <is>
          <t>Texto</t>
        </is>
      </c>
      <c r="G646" s="33" t="inlineStr">
        <is>
          <t>—</t>
        </is>
      </c>
      <c r="H646" s="33" t="inlineStr">
        <is>
          <t>Entidad pública</t>
        </is>
      </c>
      <c r="I646" s="33" t="inlineStr">
        <is>
          <t>No</t>
        </is>
      </c>
      <c r="J646" s="33" t="inlineStr">
        <is>
          <t>Academia u ONG; Empresa privada; Entidad pública; Medio de comunicación; No se sabe; Plataforma colaborativa</t>
        </is>
      </c>
      <c r="K646" s="33" t="inlineStr">
        <is>
          <t>Pública</t>
        </is>
      </c>
      <c r="L646" s="33" t="inlineStr">
        <is>
          <t>Generado por pipeline/catalogo_unico.py; licencias copiadas literalmente en inglés.</t>
        </is>
      </c>
      <c r="M646" s="33" t="inlineStr">
        <is>
          <t>¿De dónde sale cada dato y bajo qué licencia?</t>
        </is>
      </c>
    </row>
    <row r="647" ht="15.75" customHeight="1" s="24">
      <c r="A647" s="33" t="inlineStr">
        <is>
          <t>F01–F45</t>
        </is>
      </c>
      <c r="B647" s="33" t="inlineStr">
        <is>
          <t>public/data/fuentes.json</t>
        </is>
      </c>
      <c r="C647" s="33" t="inlineStr">
        <is>
          <t>fuentes[].url</t>
        </is>
      </c>
      <c r="D647" s="33" t="inlineStr">
        <is>
          <t>(catálogo único)</t>
        </is>
      </c>
      <c r="E647" s="33" t="inlineStr">
        <is>
          <t>Campo «url» de la ficha de cada fuente del catálogo.</t>
        </is>
      </c>
      <c r="F647" s="33" t="inlineStr">
        <is>
          <t>Texto</t>
        </is>
      </c>
      <c r="G647" s="33" t="inlineStr">
        <is>
          <t>—</t>
        </is>
      </c>
      <c r="H647" s="33" t="inlineStr">
        <is>
          <t>https://www.censtatd.gov.hk/en/scode150.html</t>
        </is>
      </c>
      <c r="I647" s="33" t="inlineStr">
        <is>
          <t>No</t>
        </is>
      </c>
      <c r="J647" s="33" t="inlineStr">
        <is>
          <t>45 valores distintos</t>
        </is>
      </c>
      <c r="K647" s="33" t="inlineStr">
        <is>
          <t>Pública</t>
        </is>
      </c>
      <c r="L647" s="33" t="inlineStr">
        <is>
          <t>Generado por pipeline/catalogo_unico.py; licencias copiadas literalmente en inglés.</t>
        </is>
      </c>
      <c r="M647" s="33" t="inlineStr">
        <is>
          <t>¿De dónde sale cada dato y bajo qué licencia?</t>
        </is>
      </c>
    </row>
    <row r="648" ht="15.75" customHeight="1" s="24">
      <c r="A648" s="33" t="inlineStr">
        <is>
          <t>F01–F45</t>
        </is>
      </c>
      <c r="B648" s="33" t="inlineStr">
        <is>
          <t>public/data/fuentes.json</t>
        </is>
      </c>
      <c r="C648" s="33" t="inlineStr">
        <is>
          <t>fuentes[].formato</t>
        </is>
      </c>
      <c r="D648" s="33" t="inlineStr">
        <is>
          <t>(catálogo único)</t>
        </is>
      </c>
      <c r="E648" s="33" t="inlineStr">
        <is>
          <t>Campo «formato» de la ficha de cada fuente del catálogo.</t>
        </is>
      </c>
      <c r="F648" s="33" t="inlineStr">
        <is>
          <t>Texto</t>
        </is>
      </c>
      <c r="G648" s="33" t="inlineStr">
        <is>
          <t>—</t>
        </is>
      </c>
      <c r="H648" s="33" t="inlineStr">
        <is>
          <t>Página web</t>
        </is>
      </c>
      <c r="I648" s="33" t="inlineStr">
        <is>
          <t>No</t>
        </is>
      </c>
      <c r="J648" s="33" t="inlineStr">
        <is>
          <t>CSV; GeoJSON; JSON; Otro; PDF; Página web; XLSX</t>
        </is>
      </c>
      <c r="K648" s="33" t="inlineStr">
        <is>
          <t>Pública</t>
        </is>
      </c>
      <c r="L648" s="33" t="inlineStr">
        <is>
          <t>Generado por pipeline/catalogo_unico.py; licencias copiadas literalmente en inglés.</t>
        </is>
      </c>
      <c r="M648" s="33" t="inlineStr">
        <is>
          <t>¿De dónde sale cada dato y bajo qué licencia?</t>
        </is>
      </c>
    </row>
    <row r="649" ht="15.75" customHeight="1" s="24">
      <c r="A649" s="33" t="inlineStr">
        <is>
          <t>F01–F45</t>
        </is>
      </c>
      <c r="B649" s="33" t="inlineStr">
        <is>
          <t>public/data/fuentes.json</t>
        </is>
      </c>
      <c r="C649" s="33" t="inlineStr">
        <is>
          <t>fuentes[].obtencion</t>
        </is>
      </c>
      <c r="D649" s="33" t="inlineStr">
        <is>
          <t>(catálogo único)</t>
        </is>
      </c>
      <c r="E649" s="33" t="inlineStr">
        <is>
          <t>Campo «obtencion» de la ficha de cada fuente del catálogo.</t>
        </is>
      </c>
      <c r="F649" s="33" t="inlineStr">
        <is>
          <t>Texto</t>
        </is>
      </c>
      <c r="G649" s="33" t="inlineStr">
        <is>
          <t>—</t>
        </is>
      </c>
      <c r="H649" s="33" t="inlineStr">
        <is>
          <t>Solo PDF o página</t>
        </is>
      </c>
      <c r="I649" s="33" t="inlineStr">
        <is>
          <t>No</t>
        </is>
      </c>
      <c r="J649" s="33" t="inlineStr">
        <is>
          <t>API sin llave; Bloquea scripts o pide sesión; Descarga directa; Solo PDF o página</t>
        </is>
      </c>
      <c r="K649" s="33" t="inlineStr">
        <is>
          <t>Pública</t>
        </is>
      </c>
      <c r="L649" s="33" t="inlineStr">
        <is>
          <t>Generado por pipeline/catalogo_unico.py; licencias copiadas literalmente en inglés.</t>
        </is>
      </c>
      <c r="M649" s="33" t="inlineStr">
        <is>
          <t>¿De dónde sale cada dato y bajo qué licencia?</t>
        </is>
      </c>
    </row>
    <row r="650" ht="15.75" customHeight="1" s="24">
      <c r="A650" s="33" t="inlineStr">
        <is>
          <t>F01–F45</t>
        </is>
      </c>
      <c r="B650" s="33" t="inlineStr">
        <is>
          <t>public/data/fuentes.json</t>
        </is>
      </c>
      <c r="C650" s="33" t="inlineStr">
        <is>
          <t>fuentes[].licencia</t>
        </is>
      </c>
      <c r="D650" s="33" t="inlineStr">
        <is>
          <t>(catálogo único)</t>
        </is>
      </c>
      <c r="E650" s="33" t="inlineStr">
        <is>
          <t>Campo «licencia» de la ficha de cada fuente del catálogo.</t>
        </is>
      </c>
      <c r="F650" s="33" t="inlineStr">
        <is>
          <t>Texto</t>
        </is>
      </c>
      <c r="G650" s="33" t="inlineStr">
        <is>
          <t>—</t>
        </is>
      </c>
      <c r="H650" s="33" t="inlineStr">
        <is>
          <t>not verified — la página de avisos del sitio no se pudo abrir desde la herramien…</t>
        </is>
      </c>
      <c r="I650" s="33" t="inlineStr">
        <is>
          <t>No</t>
        </is>
      </c>
      <c r="J650" s="33" t="inlineStr">
        <is>
          <t>17 valores distintos</t>
        </is>
      </c>
      <c r="K650" s="33" t="inlineStr">
        <is>
          <t>Pública</t>
        </is>
      </c>
      <c r="L650" s="33" t="inlineStr">
        <is>
          <t>Generado por pipeline/catalogo_unico.py; licencias copiadas literalmente en inglés.</t>
        </is>
      </c>
      <c r="M650" s="33" t="inlineStr">
        <is>
          <t>¿De dónde sale cada dato y bajo qué licencia?</t>
        </is>
      </c>
    </row>
    <row r="651" ht="15.75" customHeight="1" s="24">
      <c r="A651" s="33" t="inlineStr">
        <is>
          <t>F01–F45</t>
        </is>
      </c>
      <c r="B651" s="33" t="inlineStr">
        <is>
          <t>public/data/fuentes.json</t>
        </is>
      </c>
      <c r="C651" s="33" t="inlineStr">
        <is>
          <t>fuentes[].licencia_verificada</t>
        </is>
      </c>
      <c r="D651" s="33" t="inlineStr">
        <is>
          <t>(catálogo único)</t>
        </is>
      </c>
      <c r="E651" s="33" t="inlineStr">
        <is>
          <t>Campo «licencia_verificada» de la ficha de cada fuente del catálogo.</t>
        </is>
      </c>
      <c r="F651" s="33" t="inlineStr">
        <is>
          <t>Booleano</t>
        </is>
      </c>
      <c r="G651" s="33" t="inlineStr">
        <is>
          <t>—</t>
        </is>
      </c>
      <c r="H651" s="33" t="inlineStr">
        <is>
          <t>False</t>
        </is>
      </c>
      <c r="I651" s="33" t="inlineStr">
        <is>
          <t>No</t>
        </is>
      </c>
      <c r="J651" s="33" t="inlineStr">
        <is>
          <t>true / false</t>
        </is>
      </c>
      <c r="K651" s="33" t="inlineStr">
        <is>
          <t>Pública</t>
        </is>
      </c>
      <c r="L651" s="33" t="inlineStr">
        <is>
          <t>Generado por pipeline/catalogo_unico.py; licencias copiadas literalmente en inglés.</t>
        </is>
      </c>
      <c r="M651" s="33" t="inlineStr">
        <is>
          <t>¿De dónde sale cada dato y bajo qué licencia?</t>
        </is>
      </c>
    </row>
    <row r="652" ht="15.75" customHeight="1" s="24">
      <c r="A652" s="33" t="inlineStr">
        <is>
          <t>F01–F45</t>
        </is>
      </c>
      <c r="B652" s="33" t="inlineStr">
        <is>
          <t>public/data/fuentes.json</t>
        </is>
      </c>
      <c r="C652" s="33" t="inlineStr">
        <is>
          <t>fuentes[].url_licencia</t>
        </is>
      </c>
      <c r="D652" s="33" t="inlineStr">
        <is>
          <t>(catálogo único)</t>
        </is>
      </c>
      <c r="E652" s="33" t="inlineStr">
        <is>
          <t>Campo «url_licencia» de la ficha de cada fuente del catálogo.</t>
        </is>
      </c>
      <c r="F652" s="33" t="inlineStr">
        <is>
          <t>Texto</t>
        </is>
      </c>
      <c r="G652" s="33" t="inlineStr">
        <is>
          <t>—</t>
        </is>
      </c>
      <c r="H652" s="33" t="inlineStr">
        <is>
          <t>https://www.censtatd.gov.hk/</t>
        </is>
      </c>
      <c r="I652" s="33" t="inlineStr">
        <is>
          <t>Sí</t>
        </is>
      </c>
      <c r="J652" s="33" t="inlineStr">
        <is>
          <t>30 valores distintos</t>
        </is>
      </c>
      <c r="K652" s="33" t="inlineStr">
        <is>
          <t>Pública</t>
        </is>
      </c>
      <c r="L652" s="33" t="inlineStr">
        <is>
          <t>Generado por pipeline/catalogo_unico.py; licencias copiadas literalmente en inglés.</t>
        </is>
      </c>
      <c r="M652" s="33" t="inlineStr">
        <is>
          <t>¿De dónde sale cada dato y bajo qué licencia?</t>
        </is>
      </c>
    </row>
    <row r="653" ht="15.75" customHeight="1" s="24">
      <c r="A653" s="33" t="inlineStr">
        <is>
          <t>F01–F45</t>
        </is>
      </c>
      <c r="B653" s="33" t="inlineStr">
        <is>
          <t>public/data/fuentes.json</t>
        </is>
      </c>
      <c r="C653" s="33" t="inlineStr">
        <is>
          <t>fuentes[].personas</t>
        </is>
      </c>
      <c r="D653" s="33" t="inlineStr">
        <is>
          <t>(catálogo único)</t>
        </is>
      </c>
      <c r="E653" s="33" t="inlineStr">
        <is>
          <t>Campo «personas» de la ficha de cada fuente del catálogo.</t>
        </is>
      </c>
      <c r="F653" s="33" t="inlineStr">
        <is>
          <t>Texto</t>
        </is>
      </c>
      <c r="G653" s="33" t="inlineStr">
        <is>
          <t>—</t>
        </is>
      </c>
      <c r="H653" s="33" t="inlineStr">
        <is>
          <t>No</t>
        </is>
      </c>
      <c r="I653" s="33" t="inlineStr">
        <is>
          <t>No</t>
        </is>
      </c>
      <c r="J653" s="33" t="inlineStr">
        <is>
          <t>No; Personas identificables; Solo conteos por zona; Texto libre sin revisar</t>
        </is>
      </c>
      <c r="K653" s="33" t="inlineStr">
        <is>
          <t>Pública</t>
        </is>
      </c>
      <c r="L653" s="33" t="inlineStr">
        <is>
          <t>Generado por pipeline/catalogo_unico.py; licencias copiadas literalmente en inglés.</t>
        </is>
      </c>
      <c r="M653" s="33" t="inlineStr">
        <is>
          <t>¿De dónde sale cada dato y bajo qué licencia?</t>
        </is>
      </c>
    </row>
    <row r="654" ht="15.75" customHeight="1" s="24">
      <c r="A654" s="33" t="inlineStr">
        <is>
          <t>F01–F45</t>
        </is>
      </c>
      <c r="B654" s="33" t="inlineStr">
        <is>
          <t>public/data/fuentes.json</t>
        </is>
      </c>
      <c r="C654" s="33" t="inlineStr">
        <is>
          <t>fuentes[].cobertura</t>
        </is>
      </c>
      <c r="D654" s="33" t="inlineStr">
        <is>
          <t>(catálogo único)</t>
        </is>
      </c>
      <c r="E654" s="33" t="inlineStr">
        <is>
          <t>Campo «cobertura» de la ficha de cada fuente del catálogo.</t>
        </is>
      </c>
      <c r="F654" s="33" t="inlineStr">
        <is>
          <t>Texto</t>
        </is>
      </c>
      <c r="G654" s="33" t="inlineStr">
        <is>
          <t>—</t>
        </is>
      </c>
      <c r="H654" s="33" t="inlineStr">
        <is>
          <t>Hong Kong (RAE)</t>
        </is>
      </c>
      <c r="I654" s="33" t="inlineStr">
        <is>
          <t>No</t>
        </is>
      </c>
      <c r="J654" s="33" t="inlineStr">
        <is>
          <t>17 valores distintos</t>
        </is>
      </c>
      <c r="K654" s="33" t="inlineStr">
        <is>
          <t>Pública</t>
        </is>
      </c>
      <c r="L654" s="33" t="inlineStr">
        <is>
          <t>Generado por pipeline/catalogo_unico.py; licencias copiadas literalmente en inglés.</t>
        </is>
      </c>
      <c r="M654" s="33" t="inlineStr">
        <is>
          <t>¿De dónde sale cada dato y bajo qué licencia?</t>
        </is>
      </c>
    </row>
    <row r="655" ht="15.75" customHeight="1" s="24">
      <c r="A655" s="33" t="inlineStr">
        <is>
          <t>F01–F45</t>
        </is>
      </c>
      <c r="B655" s="33" t="inlineStr">
        <is>
          <t>public/data/fuentes.json</t>
        </is>
      </c>
      <c r="C655" s="33" t="inlineStr">
        <is>
          <t>fuentes[].periodo</t>
        </is>
      </c>
      <c r="D655" s="33" t="inlineStr">
        <is>
          <t>(catálogo único)</t>
        </is>
      </c>
      <c r="E655" s="33" t="inlineStr">
        <is>
          <t>Campo «periodo» de la ficha de cada fuente del catálogo.</t>
        </is>
      </c>
      <c r="F655" s="33" t="inlineStr">
        <is>
          <t>Texto</t>
        </is>
      </c>
      <c r="G655" s="33" t="inlineStr">
        <is>
          <t>—</t>
        </is>
      </c>
      <c r="H655" s="33" t="inlineStr">
        <is>
          <t>mediados de 2026</t>
        </is>
      </c>
      <c r="I655" s="33" t="inlineStr">
        <is>
          <t>No</t>
        </is>
      </c>
      <c r="J655" s="33" t="inlineStr">
        <is>
          <t>35 valores distintos</t>
        </is>
      </c>
      <c r="K655" s="33" t="inlineStr">
        <is>
          <t>Pública</t>
        </is>
      </c>
      <c r="L655" s="33" t="inlineStr">
        <is>
          <t>Generado por pipeline/catalogo_unico.py; licencias copiadas literalmente en inglés.</t>
        </is>
      </c>
      <c r="M655" s="33" t="inlineStr">
        <is>
          <t>¿De dónde sale cada dato y bajo qué licencia?</t>
        </is>
      </c>
    </row>
    <row r="656" ht="15.75" customHeight="1" s="24">
      <c r="A656" s="33" t="inlineStr">
        <is>
          <t>F01–F45</t>
        </is>
      </c>
      <c r="B656" s="33" t="inlineStr">
        <is>
          <t>public/data/fuentes.json</t>
        </is>
      </c>
      <c r="C656" s="33" t="inlineStr">
        <is>
          <t>fuentes[].frecuencia</t>
        </is>
      </c>
      <c r="D656" s="33" t="inlineStr">
        <is>
          <t>(catálogo único)</t>
        </is>
      </c>
      <c r="E656" s="33" t="inlineStr">
        <is>
          <t>Campo «frecuencia» de la ficha de cada fuente del catálogo.</t>
        </is>
      </c>
      <c r="F656" s="33" t="inlineStr">
        <is>
          <t>Texto</t>
        </is>
      </c>
      <c r="G656" s="33" t="inlineStr">
        <is>
          <t>—</t>
        </is>
      </c>
      <c r="H656" s="33" t="inlineStr">
        <is>
          <t>Anual</t>
        </is>
      </c>
      <c r="I656" s="33" t="inlineStr">
        <is>
          <t>No</t>
        </is>
      </c>
      <c r="J656" s="33" t="inlineStr">
        <is>
          <t>Anual; Diaria; Mensual; No se sabe; Tiempo real; Única vez</t>
        </is>
      </c>
      <c r="K656" s="33" t="inlineStr">
        <is>
          <t>Pública</t>
        </is>
      </c>
      <c r="L656" s="33" t="inlineStr">
        <is>
          <t>Generado por pipeline/catalogo_unico.py; licencias copiadas literalmente en inglés.</t>
        </is>
      </c>
      <c r="M656" s="33" t="inlineStr">
        <is>
          <t>¿De dónde sale cada dato y bajo qué licencia?</t>
        </is>
      </c>
    </row>
    <row r="657" ht="15.75" customHeight="1" s="24">
      <c r="A657" s="33" t="inlineStr">
        <is>
          <t>F01–F45</t>
        </is>
      </c>
      <c r="B657" s="33" t="inlineStr">
        <is>
          <t>public/data/fuentes.json</t>
        </is>
      </c>
      <c r="C657" s="33" t="inlineStr">
        <is>
          <t>fuentes[].fecha_probada</t>
        </is>
      </c>
      <c r="D657" s="33" t="inlineStr">
        <is>
          <t>(catálogo único)</t>
        </is>
      </c>
      <c r="E657" s="33" t="inlineStr">
        <is>
          <t>Campo «fecha_probada» de la ficha de cada fuente del catálogo.</t>
        </is>
      </c>
      <c r="F657" s="33" t="inlineStr">
        <is>
          <t>Fecha</t>
        </is>
      </c>
      <c r="G657" s="33" t="inlineStr">
        <is>
          <t>—</t>
        </is>
      </c>
      <c r="H657" s="33" t="inlineStr">
        <is>
          <t>2026-09-21</t>
        </is>
      </c>
      <c r="I657" s="33" t="inlineStr">
        <is>
          <t>No</t>
        </is>
      </c>
      <c r="J657" s="33" t="inlineStr">
        <is>
          <t>2026-09-21; 2026-09-23; 2026-10-06; 2026-10-26</t>
        </is>
      </c>
      <c r="K657" s="33" t="inlineStr">
        <is>
          <t>Pública</t>
        </is>
      </c>
      <c r="L657" s="33" t="inlineStr">
        <is>
          <t>Generado por pipeline/catalogo_unico.py; licencias copiadas literalmente en inglés.</t>
        </is>
      </c>
      <c r="M657" s="33" t="inlineStr">
        <is>
          <t>¿De dónde sale cada dato y bajo qué licencia?</t>
        </is>
      </c>
    </row>
    <row r="658" ht="15.75" customHeight="1" s="24">
      <c r="A658" s="33" t="inlineStr">
        <is>
          <t>F01–F45</t>
        </is>
      </c>
      <c r="B658" s="33" t="inlineStr">
        <is>
          <t>public/data/fuentes.json</t>
        </is>
      </c>
      <c r="C658" s="33" t="inlineStr">
        <is>
          <t>fuentes[].estado</t>
        </is>
      </c>
      <c r="D658" s="33" t="inlineStr">
        <is>
          <t>(catálogo único)</t>
        </is>
      </c>
      <c r="E658" s="33" t="inlineStr">
        <is>
          <t>Campo «estado» de la ficha de cada fuente del catálogo.</t>
        </is>
      </c>
      <c r="F658" s="33" t="inlineStr">
        <is>
          <t>Texto</t>
        </is>
      </c>
      <c r="G658" s="33" t="inlineStr">
        <is>
          <t>—</t>
        </is>
      </c>
      <c r="H658" s="33" t="inlineStr">
        <is>
          <t>Integrada al lago</t>
        </is>
      </c>
      <c r="I658" s="33" t="inlineStr">
        <is>
          <t>No</t>
        </is>
      </c>
      <c r="J658" s="33" t="inlineStr">
        <is>
          <t>Candidata; Descartada; Integrada al lago; No existe (la inventó la IA); No responde</t>
        </is>
      </c>
      <c r="K658" s="33" t="inlineStr">
        <is>
          <t>Pública</t>
        </is>
      </c>
      <c r="L658" s="33" t="inlineStr">
        <is>
          <t>Generado por pipeline/catalogo_unico.py; licencias copiadas literalmente en inglés.</t>
        </is>
      </c>
      <c r="M658" s="33" t="inlineStr">
        <is>
          <t>¿De dónde sale cada dato y bajo qué licencia?</t>
        </is>
      </c>
    </row>
    <row r="659" ht="15.75" customHeight="1" s="24">
      <c r="A659" s="33" t="inlineStr">
        <is>
          <t>F01–F45</t>
        </is>
      </c>
      <c r="B659" s="33" t="inlineStr">
        <is>
          <t>public/data/fuentes.json</t>
        </is>
      </c>
      <c r="C659" s="33" t="inlineStr">
        <is>
          <t>fuentes[].como</t>
        </is>
      </c>
      <c r="D659" s="33" t="inlineStr">
        <is>
          <t>(catálogo único)</t>
        </is>
      </c>
      <c r="E659" s="33" t="inlineStr">
        <is>
          <t>Campo «como» de la ficha de cada fuente del catálogo.</t>
        </is>
      </c>
      <c r="F659" s="33" t="inlineStr">
        <is>
          <t>Texto</t>
        </is>
      </c>
      <c r="G659" s="33" t="inlineStr">
        <is>
          <t>—</t>
        </is>
      </c>
      <c r="H659" s="33" t="inlineStr">
        <is>
          <t>IA (Claude) propuso C&amp;SD; verificado en el portal</t>
        </is>
      </c>
      <c r="I659" s="33" t="inlineStr">
        <is>
          <t>No</t>
        </is>
      </c>
      <c r="J659" s="33" t="inlineStr">
        <is>
          <t>36 valores distintos</t>
        </is>
      </c>
      <c r="K659" s="33" t="inlineStr">
        <is>
          <t>Pública</t>
        </is>
      </c>
      <c r="L659" s="33" t="inlineStr">
        <is>
          <t>Generado por pipeline/catalogo_unico.py; licencias copiadas literalmente en inglés.</t>
        </is>
      </c>
      <c r="M659" s="33" t="inlineStr">
        <is>
          <t>¿De dónde sale cada dato y bajo qué licencia?</t>
        </is>
      </c>
    </row>
    <row r="660" ht="15.75" customHeight="1" s="24">
      <c r="A660" s="33" t="inlineStr">
        <is>
          <t>F01–F45</t>
        </is>
      </c>
      <c r="B660" s="33" t="inlineStr">
        <is>
          <t>public/data/fuentes.json</t>
        </is>
      </c>
      <c r="C660" s="33" t="inlineStr">
        <is>
          <t>fuentes[].observaciones</t>
        </is>
      </c>
      <c r="D660" s="33" t="inlineStr">
        <is>
          <t>(catálogo único)</t>
        </is>
      </c>
      <c r="E660" s="33" t="inlineStr">
        <is>
          <t>Campo «observaciones» de la ficha de cada fuente del catálogo.</t>
        </is>
      </c>
      <c r="F660" s="33" t="inlineStr">
        <is>
          <t>Texto</t>
        </is>
      </c>
      <c r="G660" s="33" t="inlineStr">
        <is>
          <t>—</t>
        </is>
      </c>
      <c r="H660" s="33" t="inlineStr">
        <is>
          <t>Cifra provisional 7.518.300.</t>
        </is>
      </c>
      <c r="I660" s="33" t="inlineStr">
        <is>
          <t>Sí</t>
        </is>
      </c>
      <c r="J660" s="33" t="inlineStr">
        <is>
          <t>39 valores distintos</t>
        </is>
      </c>
      <c r="K660" s="33" t="inlineStr">
        <is>
          <t>Pública</t>
        </is>
      </c>
      <c r="L660" s="33" t="inlineStr">
        <is>
          <t>Generado por pipeline/catalogo_unico.py; licencias copiadas literalmente en inglés.</t>
        </is>
      </c>
      <c r="M660" s="33" t="inlineStr">
        <is>
          <t>¿De dónde sale cada dato y bajo qué licencia?</t>
        </is>
      </c>
    </row>
    <row r="661" ht="15.75" customHeight="1" s="24">
      <c r="A661" s="33" t="inlineStr">
        <is>
          <t>F01–F45</t>
        </is>
      </c>
      <c r="B661" s="33" t="inlineStr">
        <is>
          <t>public/data/fuentes.json</t>
        </is>
      </c>
      <c r="C661" s="33" t="inlineStr">
        <is>
          <t>fuentes[].riesgo_licencia</t>
        </is>
      </c>
      <c r="D661" s="33" t="inlineStr">
        <is>
          <t>(catálogo único)</t>
        </is>
      </c>
      <c r="E661" s="33" t="inlineStr">
        <is>
          <t>Campo «riesgo_licencia» de la ficha de cada fuente del catálogo.</t>
        </is>
      </c>
      <c r="F661" s="33" t="inlineStr">
        <is>
          <t>Texto</t>
        </is>
      </c>
      <c r="G661" s="33" t="inlineStr">
        <is>
          <t>—</t>
        </is>
      </c>
      <c r="H661" s="33" t="inlineStr">
        <is>
          <t>restrictiva</t>
        </is>
      </c>
      <c r="I661" s="33" t="inlineStr">
        <is>
          <t>Sí</t>
        </is>
      </c>
      <c r="J661" s="33" t="inlineStr">
        <is>
          <t>; condicionada; restrictiva</t>
        </is>
      </c>
      <c r="K661" s="33" t="inlineStr">
        <is>
          <t>Pública</t>
        </is>
      </c>
      <c r="L661" s="33" t="inlineStr">
        <is>
          <t>Generado por pipeline/catalogo_unico.py; licencias copiadas literalmente en inglés.</t>
        </is>
      </c>
      <c r="M661" s="33" t="inlineStr">
        <is>
          <t>¿De dónde sale cada dato y bajo qué licencia?</t>
        </is>
      </c>
    </row>
    <row r="662" ht="15.75" customHeight="1" s="24">
      <c r="A662" s="33" t="inlineStr">
        <is>
          <t>F01–F45</t>
        </is>
      </c>
      <c r="B662" s="33" t="inlineStr">
        <is>
          <t>public/data/fuentes.json</t>
        </is>
      </c>
      <c r="C662" s="33" t="inlineStr">
        <is>
          <t>fuentes[].archivos_lago[]</t>
        </is>
      </c>
      <c r="D662" s="33" t="inlineStr">
        <is>
          <t>(catálogo único)</t>
        </is>
      </c>
      <c r="E662" s="33" t="inlineStr">
        <is>
          <t>Campo «archivos_lago» de la ficha de cada fuente del catálogo.</t>
        </is>
      </c>
      <c r="F662" s="33" t="inlineStr">
        <is>
          <t>Texto</t>
        </is>
      </c>
      <c r="G662" s="33" t="inlineStr">
        <is>
          <t>—</t>
        </is>
      </c>
      <c r="H662" s="33" t="inlineStr">
        <is>
          <t>perfil_wiki.json</t>
        </is>
      </c>
      <c r="I662" s="33" t="inlineStr">
        <is>
          <t>No</t>
        </is>
      </c>
      <c r="J662" s="33" t="inlineStr">
        <is>
          <t>15 valores distintos</t>
        </is>
      </c>
      <c r="K662" s="33" t="inlineStr">
        <is>
          <t>Pública</t>
        </is>
      </c>
      <c r="L662" s="33" t="inlineStr">
        <is>
          <t>Generado por pipeline/catalogo_unico.py; licencias copiadas literalmente en inglés.</t>
        </is>
      </c>
      <c r="M662" s="33" t="inlineStr">
        <is>
          <t>¿De dónde sale cada dato y bajo qué licencia?</t>
        </is>
      </c>
    </row>
    <row r="663" ht="15.75" customHeight="1" s="24">
      <c r="A663" s="33" t="inlineStr">
        <is>
          <t>F01–F45</t>
        </is>
      </c>
      <c r="B663" s="33" t="inlineStr">
        <is>
          <t>public/data/fuentes.json</t>
        </is>
      </c>
      <c r="C663" s="33" t="inlineStr">
        <is>
          <t>archivos.{clave}[]</t>
        </is>
      </c>
      <c r="D663" s="33" t="inlineStr">
        <is>
          <t>(catálogo único)</t>
        </is>
      </c>
      <c r="E663" s="33" t="inlineStr">
        <is>
          <t>Campo «{clave}» de la ficha de cada fuente del catálogo.</t>
        </is>
      </c>
      <c r="F663" s="33" t="inlineStr">
        <is>
          <t>Texto</t>
        </is>
      </c>
      <c r="G663" s="33" t="inlineStr">
        <is>
          <t>—</t>
        </is>
      </c>
      <c r="H663" s="33" t="inlineStr">
        <is>
          <t>F20</t>
        </is>
      </c>
      <c r="I663" s="33" t="inlineStr">
        <is>
          <t>No</t>
        </is>
      </c>
      <c r="J663" s="33" t="inlineStr">
        <is>
          <t>30 valores distintos</t>
        </is>
      </c>
      <c r="K663" s="33" t="inlineStr">
        <is>
          <t>Pública</t>
        </is>
      </c>
      <c r="L663" s="33" t="inlineStr">
        <is>
          <t>Generado por pipeline/catalogo_unico.py; licencias copiadas literalmente en inglés.</t>
        </is>
      </c>
      <c r="M663" s="33" t="inlineStr">
        <is>
          <t>¿De dónde sale cada dato y bajo qué licencia?</t>
        </is>
      </c>
    </row>
    <row r="664" ht="15.75" customHeight="1" s="24">
      <c r="A664" s="33" t="inlineStr">
        <is>
          <t>F01–F45</t>
        </is>
      </c>
      <c r="B664" s="33" t="inlineStr">
        <is>
          <t>public/data/fuentes.json</t>
        </is>
      </c>
      <c r="C664" s="33" t="inlineStr">
        <is>
          <t>ids_antiguos.{clave}</t>
        </is>
      </c>
      <c r="D664" s="33" t="inlineStr">
        <is>
          <t>(catálogo único)</t>
        </is>
      </c>
      <c r="E664" s="33" t="inlineStr">
        <is>
          <t>Campo «{clave}» de la ficha de cada fuente del catálogo.</t>
        </is>
      </c>
      <c r="F664" s="33" t="inlineStr">
        <is>
          <t>Texto</t>
        </is>
      </c>
      <c r="G664" s="33" t="inlineStr">
        <is>
          <t>—</t>
        </is>
      </c>
      <c r="H664" s="33" t="inlineStr">
        <is>
          <t>F19</t>
        </is>
      </c>
      <c r="I664" s="33" t="inlineStr">
        <is>
          <t>No</t>
        </is>
      </c>
      <c r="J664" s="33" t="inlineStr">
        <is>
          <t>14 valores distintos</t>
        </is>
      </c>
      <c r="K664" s="33" t="inlineStr">
        <is>
          <t>Pública</t>
        </is>
      </c>
      <c r="L664" s="33" t="inlineStr">
        <is>
          <t>Generado por pipeline/catalogo_unico.py; licencias copiadas literalmente en inglés.</t>
        </is>
      </c>
      <c r="M664" s="33" t="inlineStr">
        <is>
          <t>¿De dónde sale cada dato y bajo qué licencia?</t>
        </is>
      </c>
    </row>
    <row r="665" ht="15.75" customHeight="1" s="24">
      <c r="A665" s="33" t="inlineStr">
        <is>
          <t>F01–F06, F10, F20, F22</t>
        </is>
      </c>
      <c r="B665" s="33" t="inlineStr">
        <is>
          <t>public/data/conciliacion.json</t>
        </is>
      </c>
      <c r="C665" s="33" t="inlineStr">
        <is>
          <t>nota</t>
        </is>
      </c>
      <c r="D665" s="33" t="inlineStr">
        <is>
          <t>(calculado)</t>
        </is>
      </c>
      <c r="E665" s="33" t="inlineStr">
        <is>
          <t>Campo «nota» de la comparación wiki (a mano) vs. lago (descargado).</t>
        </is>
      </c>
      <c r="F665" s="33" t="inlineStr">
        <is>
          <t>Texto</t>
        </is>
      </c>
      <c r="G665" s="33" t="inlineStr">
        <is>
          <t>—</t>
        </is>
      </c>
      <c r="H665" s="33" t="inlineStr">
        <is>
          <t>Cifras de la wiki (copiadas a mano) frente a las del lago (descargadas por el pi…</t>
        </is>
      </c>
      <c r="I665" s="33" t="inlineStr">
        <is>
          <t>No</t>
        </is>
      </c>
      <c r="J665" s="33" t="inlineStr">
        <is>
          <t>Cifras de la wiki (copiadas a mano) frente a las del lago (descargadas por el pipeline). La web usa una sola por concepto.</t>
        </is>
      </c>
      <c r="K665" s="33" t="inlineStr">
        <is>
          <t>Pública</t>
        </is>
      </c>
      <c r="L665" s="33" t="inlineStr">
        <is>
          <t>pipeline/catalogo_unico.py → conciliacion().</t>
        </is>
      </c>
      <c r="M665" s="33" t="inlineStr">
        <is>
          <t>¿Por qué la página usa una cifra y no la otra?</t>
        </is>
      </c>
    </row>
    <row r="666" ht="15.75" customHeight="1" s="24">
      <c r="A666" s="33" t="inlineStr">
        <is>
          <t>F01–F06, F10, F20, F22</t>
        </is>
      </c>
      <c r="B666" s="33" t="inlineStr">
        <is>
          <t>public/data/conciliacion.json</t>
        </is>
      </c>
      <c r="C666" s="33" t="inlineStr">
        <is>
          <t>filas[].indicador</t>
        </is>
      </c>
      <c r="D666" s="33" t="inlineStr">
        <is>
          <t>(calculado)</t>
        </is>
      </c>
      <c r="E666" s="33" t="inlineStr">
        <is>
          <t>Campo «indicador» de la comparación wiki (a mano) vs. lago (descargado).</t>
        </is>
      </c>
      <c r="F666" s="33" t="inlineStr">
        <is>
          <t>Texto</t>
        </is>
      </c>
      <c r="G666" s="33" t="inlineStr">
        <is>
          <t>—</t>
        </is>
      </c>
      <c r="H666" s="33" t="inlineStr">
        <is>
          <t>% de 65+ (2021)</t>
        </is>
      </c>
      <c r="I666" s="33" t="inlineStr">
        <is>
          <t>No</t>
        </is>
      </c>
      <c r="J666" s="33" t="inlineStr">
        <is>
          <t>12 valores distintos</t>
        </is>
      </c>
      <c r="K666" s="33" t="inlineStr">
        <is>
          <t>Pública</t>
        </is>
      </c>
      <c r="L666" s="33" t="inlineStr">
        <is>
          <t>pipeline/catalogo_unico.py → conciliacion().</t>
        </is>
      </c>
      <c r="M666" s="33" t="inlineStr">
        <is>
          <t>¿Por qué la página usa una cifra y no la otra?</t>
        </is>
      </c>
    </row>
    <row r="667" ht="15.75" customHeight="1" s="24">
      <c r="A667" s="33" t="inlineStr">
        <is>
          <t>F01–F06, F10, F20, F22</t>
        </is>
      </c>
      <c r="B667" s="33" t="inlineStr">
        <is>
          <t>public/data/conciliacion.json</t>
        </is>
      </c>
      <c r="C667" s="33" t="inlineStr">
        <is>
          <t>filas[].campo_wiki</t>
        </is>
      </c>
      <c r="D667" s="33" t="inlineStr">
        <is>
          <t>(calculado)</t>
        </is>
      </c>
      <c r="E667" s="33" t="inlineStr">
        <is>
          <t>Campo «campo_wiki» de la comparación wiki (a mano) vs. lago (descargado).</t>
        </is>
      </c>
      <c r="F667" s="33" t="inlineStr">
        <is>
          <t>Texto</t>
        </is>
      </c>
      <c r="G667" s="33" t="inlineStr">
        <is>
          <t>—</t>
        </is>
      </c>
      <c r="H667" s="33" t="inlineStr">
        <is>
          <t>poblacion.pct_65_mas_2021</t>
        </is>
      </c>
      <c r="I667" s="33" t="inlineStr">
        <is>
          <t>No</t>
        </is>
      </c>
      <c r="J667" s="33" t="inlineStr">
        <is>
          <t>12 valores distintos</t>
        </is>
      </c>
      <c r="K667" s="33" t="inlineStr">
        <is>
          <t>Pública</t>
        </is>
      </c>
      <c r="L667" s="33" t="inlineStr">
        <is>
          <t>pipeline/catalogo_unico.py → conciliacion().</t>
        </is>
      </c>
      <c r="M667" s="33" t="inlineStr">
        <is>
          <t>¿Por qué la página usa una cifra y no la otra?</t>
        </is>
      </c>
    </row>
    <row r="668" ht="15.75" customHeight="1" s="24">
      <c r="A668" s="33" t="inlineStr">
        <is>
          <t>F01–F06, F10, F20, F22</t>
        </is>
      </c>
      <c r="B668" s="33" t="inlineStr">
        <is>
          <t>public/data/conciliacion.json</t>
        </is>
      </c>
      <c r="C668" s="33" t="inlineStr">
        <is>
          <t>filas[].valor_wiki</t>
        </is>
      </c>
      <c r="D668" s="33" t="inlineStr">
        <is>
          <t>(calculado)</t>
        </is>
      </c>
      <c r="E668" s="33" t="inlineStr">
        <is>
          <t>Campo «valor_wiki» de la comparación wiki (a mano) vs. lago (descargado).</t>
        </is>
      </c>
      <c r="F668" s="33" t="inlineStr">
        <is>
          <t>Decimal</t>
        </is>
      </c>
      <c r="G668" s="33" t="inlineStr">
        <is>
          <t>—</t>
        </is>
      </c>
      <c r="H668" s="33" t="inlineStr">
        <is>
          <t>20.5</t>
        </is>
      </c>
      <c r="I668" s="33" t="inlineStr">
        <is>
          <t>No</t>
        </is>
      </c>
      <c r="J668" s="33" t="inlineStr">
        <is>
          <t>0,7 a 1,45e+06</t>
        </is>
      </c>
      <c r="K668" s="33" t="inlineStr">
        <is>
          <t>Pública</t>
        </is>
      </c>
      <c r="L668" s="33" t="inlineStr">
        <is>
          <t>pipeline/catalogo_unico.py → conciliacion().</t>
        </is>
      </c>
      <c r="M668" s="33" t="inlineStr">
        <is>
          <t>¿Por qué la página usa una cifra y no la otra?</t>
        </is>
      </c>
    </row>
    <row r="669" ht="15.75" customHeight="1" s="24">
      <c r="A669" s="33" t="inlineStr">
        <is>
          <t>F01–F06, F10, F20, F22</t>
        </is>
      </c>
      <c r="B669" s="33" t="inlineStr">
        <is>
          <t>public/data/conciliacion.json</t>
        </is>
      </c>
      <c r="C669" s="33" t="inlineStr">
        <is>
          <t>filas[].fuente_wiki</t>
        </is>
      </c>
      <c r="D669" s="33" t="inlineStr">
        <is>
          <t>(calculado)</t>
        </is>
      </c>
      <c r="E669" s="33" t="inlineStr">
        <is>
          <t>Campo «fuente_wiki» de la comparación wiki (a mano) vs. lago (descargado).</t>
        </is>
      </c>
      <c r="F669" s="33" t="inlineStr">
        <is>
          <t>Texto</t>
        </is>
      </c>
      <c r="G669" s="33" t="inlineStr">
        <is>
          <t>—</t>
        </is>
      </c>
      <c r="H669" s="33" t="inlineStr">
        <is>
          <t>F02</t>
        </is>
      </c>
      <c r="I669" s="33" t="inlineStr">
        <is>
          <t>No</t>
        </is>
      </c>
      <c r="J669" s="33" t="inlineStr">
        <is>
          <t>F01; F02; F03; F06; F10</t>
        </is>
      </c>
      <c r="K669" s="33" t="inlineStr">
        <is>
          <t>Pública</t>
        </is>
      </c>
      <c r="L669" s="33" t="inlineStr">
        <is>
          <t>pipeline/catalogo_unico.py → conciliacion().</t>
        </is>
      </c>
      <c r="M669" s="33" t="inlineStr">
        <is>
          <t>¿Por qué la página usa una cifra y no la otra?</t>
        </is>
      </c>
    </row>
    <row r="670" ht="15.75" customHeight="1" s="24">
      <c r="A670" s="33" t="inlineStr">
        <is>
          <t>F01–F06, F10, F20, F22</t>
        </is>
      </c>
      <c r="B670" s="33" t="inlineStr">
        <is>
          <t>public/data/conciliacion.json</t>
        </is>
      </c>
      <c r="C670" s="33" t="inlineStr">
        <is>
          <t>filas[].campo_lago</t>
        </is>
      </c>
      <c r="D670" s="33" t="inlineStr">
        <is>
          <t>(calculado)</t>
        </is>
      </c>
      <c r="E670" s="33" t="inlineStr">
        <is>
          <t>Campo «campo_lago» de la comparación wiki (a mano) vs. lago (descargado).</t>
        </is>
      </c>
      <c r="F670" s="33" t="inlineStr">
        <is>
          <t>Texto</t>
        </is>
      </c>
      <c r="G670" s="33" t="inlineStr">
        <is>
          <t>—</t>
        </is>
      </c>
      <c r="H670" s="33" t="inlineStr">
        <is>
          <t>demografia.json · pob_65_mas / poblacion_2021</t>
        </is>
      </c>
      <c r="I670" s="33" t="inlineStr">
        <is>
          <t>No</t>
        </is>
      </c>
      <c r="J670" s="33" t="inlineStr">
        <is>
          <t>11 valores distintos</t>
        </is>
      </c>
      <c r="K670" s="33" t="inlineStr">
        <is>
          <t>Pública</t>
        </is>
      </c>
      <c r="L670" s="33" t="inlineStr">
        <is>
          <t>pipeline/catalogo_unico.py → conciliacion().</t>
        </is>
      </c>
      <c r="M670" s="33" t="inlineStr">
        <is>
          <t>¿Por qué la página usa una cifra y no la otra?</t>
        </is>
      </c>
    </row>
    <row r="671" ht="15.75" customHeight="1" s="24">
      <c r="A671" s="33" t="inlineStr">
        <is>
          <t>F01–F06, F10, F20, F22</t>
        </is>
      </c>
      <c r="B671" s="33" t="inlineStr">
        <is>
          <t>public/data/conciliacion.json</t>
        </is>
      </c>
      <c r="C671" s="33" t="inlineStr">
        <is>
          <t>filas[].valor_lago</t>
        </is>
      </c>
      <c r="D671" s="33" t="inlineStr">
        <is>
          <t>(calculado)</t>
        </is>
      </c>
      <c r="E671" s="33" t="inlineStr">
        <is>
          <t>Campo «valor_lago» de la comparación wiki (a mano) vs. lago (descargado).</t>
        </is>
      </c>
      <c r="F671" s="33" t="inlineStr">
        <is>
          <t>Decimal</t>
        </is>
      </c>
      <c r="G671" s="33" t="inlineStr">
        <is>
          <t>—</t>
        </is>
      </c>
      <c r="H671" s="33" t="inlineStr">
        <is>
          <t>19.58</t>
        </is>
      </c>
      <c r="I671" s="33" t="inlineStr">
        <is>
          <t>No</t>
        </is>
      </c>
      <c r="J671" s="33" t="inlineStr">
        <is>
          <t>0,83 a 1,451e+06</t>
        </is>
      </c>
      <c r="K671" s="33" t="inlineStr">
        <is>
          <t>Pública</t>
        </is>
      </c>
      <c r="L671" s="33" t="inlineStr">
        <is>
          <t>pipeline/catalogo_unico.py → conciliacion().</t>
        </is>
      </c>
      <c r="M671" s="33" t="inlineStr">
        <is>
          <t>¿Por qué la página usa una cifra y no la otra?</t>
        </is>
      </c>
    </row>
    <row r="672" ht="15.75" customHeight="1" s="24">
      <c r="A672" s="33" t="inlineStr">
        <is>
          <t>F01–F06, F10, F20, F22</t>
        </is>
      </c>
      <c r="B672" s="33" t="inlineStr">
        <is>
          <t>public/data/conciliacion.json</t>
        </is>
      </c>
      <c r="C672" s="33" t="inlineStr">
        <is>
          <t>filas[].fuente_lago</t>
        </is>
      </c>
      <c r="D672" s="33" t="inlineStr">
        <is>
          <t>(calculado)</t>
        </is>
      </c>
      <c r="E672" s="33" t="inlineStr">
        <is>
          <t>Campo «fuente_lago» de la comparación wiki (a mano) vs. lago (descargado).</t>
        </is>
      </c>
      <c r="F672" s="33" t="inlineStr">
        <is>
          <t>Texto</t>
        </is>
      </c>
      <c r="G672" s="33" t="inlineStr">
        <is>
          <t>—</t>
        </is>
      </c>
      <c r="H672" s="33" t="inlineStr">
        <is>
          <t>F20</t>
        </is>
      </c>
      <c r="I672" s="33" t="inlineStr">
        <is>
          <t>No</t>
        </is>
      </c>
      <c r="J672" s="33" t="inlineStr">
        <is>
          <t>F10; F20; F20; F22</t>
        </is>
      </c>
      <c r="K672" s="33" t="inlineStr">
        <is>
          <t>Pública</t>
        </is>
      </c>
      <c r="L672" s="33" t="inlineStr">
        <is>
          <t>pipeline/catalogo_unico.py → conciliacion().</t>
        </is>
      </c>
      <c r="M672" s="33" t="inlineStr">
        <is>
          <t>¿Por qué la página usa una cifra y no la otra?</t>
        </is>
      </c>
    </row>
    <row r="673" ht="15.75" customHeight="1" s="24">
      <c r="A673" s="33" t="inlineStr">
        <is>
          <t>F01–F06, F10, F20, F22</t>
        </is>
      </c>
      <c r="B673" s="33" t="inlineStr">
        <is>
          <t>public/data/conciliacion.json</t>
        </is>
      </c>
      <c r="C673" s="33" t="inlineStr">
        <is>
          <t>filas[].diagnostico</t>
        </is>
      </c>
      <c r="D673" s="33" t="inlineStr">
        <is>
          <t>(calculado)</t>
        </is>
      </c>
      <c r="E673" s="33" t="inlineStr">
        <is>
          <t>Campo «diagnostico» de la comparación wiki (a mano) vs. lago (descargado).</t>
        </is>
      </c>
      <c r="F673" s="33" t="inlineStr">
        <is>
          <t>Texto</t>
        </is>
      </c>
      <c r="G673" s="33" t="inlineStr">
        <is>
          <t>—</t>
        </is>
      </c>
      <c r="H673" s="33" t="inlineStr">
        <is>
          <t>Distinta base: la proyección (F02) excluye empleadas domésticas extranjeras; el …</t>
        </is>
      </c>
      <c r="I673" s="33" t="inlineStr">
        <is>
          <t>No</t>
        </is>
      </c>
      <c r="J673" s="33" t="inlineStr">
        <is>
          <t>9 valores distintos</t>
        </is>
      </c>
      <c r="K673" s="33" t="inlineStr">
        <is>
          <t>Pública</t>
        </is>
      </c>
      <c r="L673" s="33" t="inlineStr">
        <is>
          <t>pipeline/catalogo_unico.py → conciliacion().</t>
        </is>
      </c>
      <c r="M673" s="33" t="inlineStr">
        <is>
          <t>¿Por qué la página usa una cifra y no la otra?</t>
        </is>
      </c>
    </row>
    <row r="674" ht="15.75" customHeight="1" s="24">
      <c r="A674" s="33" t="inlineStr">
        <is>
          <t>F01–F06, F10, F20, F22</t>
        </is>
      </c>
      <c r="B674" s="33" t="inlineStr">
        <is>
          <t>public/data/conciliacion.json</t>
        </is>
      </c>
      <c r="C674" s="33" t="inlineStr">
        <is>
          <t>filas[].decision</t>
        </is>
      </c>
      <c r="D674" s="33" t="inlineStr">
        <is>
          <t>(calculado)</t>
        </is>
      </c>
      <c r="E674" s="33" t="inlineStr">
        <is>
          <t>Campo «decision» de la comparación wiki (a mano) vs. lago (descargado).</t>
        </is>
      </c>
      <c r="F674" s="33" t="inlineStr">
        <is>
          <t>Texto</t>
        </is>
      </c>
      <c r="G674" s="33" t="inlineStr">
        <is>
          <t>—</t>
        </is>
      </c>
      <c r="H674" s="33" t="inlineStr">
        <is>
          <t>Se usa el lago (19,6 %). La wiki se cita solo para la proyección 2046.</t>
        </is>
      </c>
      <c r="I674" s="33" t="inlineStr">
        <is>
          <t>No</t>
        </is>
      </c>
      <c r="J674" s="33" t="inlineStr">
        <is>
          <t>Se muestran las dos con su definición explícita.; Se usa el lago (19,6 %). La wiki se cita solo para la proyección 2046.; Se usa el lago.; Se usa la wiki (trae además las variaciones).; Se usa la wiki</t>
        </is>
      </c>
      <c r="K674" s="33" t="inlineStr">
        <is>
          <t>Pública</t>
        </is>
      </c>
      <c r="L674" s="33" t="inlineStr">
        <is>
          <t>pipeline/catalogo_unico.py → conciliacion().</t>
        </is>
      </c>
      <c r="M674" s="33" t="inlineStr">
        <is>
          <t>¿Por qué la página usa una cifra y no la otra?</t>
        </is>
      </c>
    </row>
    <row r="675" ht="15.75" customHeight="1" s="24">
      <c r="A675" s="33" t="inlineStr">
        <is>
          <t>F01–F06, F10, F20, F22</t>
        </is>
      </c>
      <c r="B675" s="33" t="inlineStr">
        <is>
          <t>public/data/conciliacion.json</t>
        </is>
      </c>
      <c r="C675" s="33" t="inlineStr">
        <is>
          <t>reemplazados[]</t>
        </is>
      </c>
      <c r="D675" s="33" t="inlineStr">
        <is>
          <t>(calculado)</t>
        </is>
      </c>
      <c r="E675" s="33" t="inlineStr">
        <is>
          <t>Campo «reemplazados» de la comparación wiki (a mano) vs. lago (descargado).</t>
        </is>
      </c>
      <c r="F675" s="33" t="inlineStr">
        <is>
          <t>Texto</t>
        </is>
      </c>
      <c r="G675" s="33" t="inlineStr">
        <is>
          <t>—</t>
        </is>
      </c>
      <c r="H675" s="33" t="inlineStr">
        <is>
          <t>poblacion.densidad_hab_km2</t>
        </is>
      </c>
      <c r="I675" s="33" t="inlineStr">
        <is>
          <t>No</t>
        </is>
      </c>
      <c r="J675" s="33" t="inlineStr">
        <is>
          <t>9 valores distintos</t>
        </is>
      </c>
      <c r="K675" s="33" t="inlineStr">
        <is>
          <t>Pública</t>
        </is>
      </c>
      <c r="L675" s="33" t="inlineStr">
        <is>
          <t>pipeline/catalogo_unico.py → conciliacion().</t>
        </is>
      </c>
      <c r="M675" s="33" t="inlineStr">
        <is>
          <t>¿Por qué la página usa una cifra y no la otra?</t>
        </is>
      </c>
    </row>
    <row r="676" ht="15.75" customHeight="1" s="24">
      <c r="A676" s="33" t="inlineStr">
        <is>
          <t>F33</t>
        </is>
      </c>
      <c r="B676" s="33" t="inlineStr">
        <is>
          <t>public/data/barrios.json</t>
        </is>
      </c>
      <c r="C676" s="33" t="inlineStr">
        <is>
          <t>{clave}.codigo</t>
        </is>
      </c>
      <c r="D676" s="33" t="inlineStr">
        <is>
          <t>name_en / name_zh</t>
        </is>
      </c>
      <c r="E676" s="33" t="inlineStr">
        <is>
          <t>Código de distrito o nombre chino del barrio (clave = nombre en inglés).</t>
        </is>
      </c>
      <c r="F676" s="33" t="inlineStr">
        <is>
          <t>Código</t>
        </is>
      </c>
      <c r="G676" s="33" t="inlineStr">
        <is>
          <t>—</t>
        </is>
      </c>
      <c r="H676" s="33" t="inlineStr">
        <is>
          <t>A</t>
        </is>
      </c>
      <c r="I676" s="33" t="inlineStr">
        <is>
          <t>No</t>
        </is>
      </c>
      <c r="J676" s="33" t="inlineStr">
        <is>
          <t>18 valores distintos</t>
        </is>
      </c>
      <c r="K676" s="33" t="inlineStr">
        <is>
          <t>Pública</t>
        </is>
      </c>
      <c r="L676" s="33" t="inlineStr">
        <is>
          <t>Lugares de hkopendata agrupados por distrito.</t>
        </is>
      </c>
      <c r="M676" s="33" t="inlineStr">
        <is>
          <t>¿En qué distrito queda el barrio que busco?</t>
        </is>
      </c>
    </row>
    <row r="677" ht="15.75" customHeight="1" s="24">
      <c r="A677" s="33" t="inlineStr">
        <is>
          <t>F33</t>
        </is>
      </c>
      <c r="B677" s="33" t="inlineStr">
        <is>
          <t>public/data/barrios.json</t>
        </is>
      </c>
      <c r="C677" s="33" t="inlineStr">
        <is>
          <t>{clave}.zh</t>
        </is>
      </c>
      <c r="D677" s="33" t="inlineStr">
        <is>
          <t>name_en / name_zh</t>
        </is>
      </c>
      <c r="E677" s="33" t="inlineStr">
        <is>
          <t>Código de distrito o nombre chino del barrio (clave = nombre en inglés).</t>
        </is>
      </c>
      <c r="F677" s="33" t="inlineStr">
        <is>
          <t>Texto</t>
        </is>
      </c>
      <c r="G677" s="33" t="inlineStr">
        <is>
          <t>—</t>
        </is>
      </c>
      <c r="H677" s="33" t="inlineStr">
        <is>
          <t>堅尼地城</t>
        </is>
      </c>
      <c r="I677" s="33" t="inlineStr">
        <is>
          <t>No</t>
        </is>
      </c>
      <c r="J677" s="33" t="inlineStr">
        <is>
          <t>126 valores distintos</t>
        </is>
      </c>
      <c r="K677" s="33" t="inlineStr">
        <is>
          <t>Pública</t>
        </is>
      </c>
      <c r="L677" s="33" t="inlineStr">
        <is>
          <t>Lugares de hkopendata agrupados por distrito.</t>
        </is>
      </c>
      <c r="M677" s="33" t="inlineStr">
        <is>
          <t>¿En qué distrito queda el barrio que busco?</t>
        </is>
      </c>
    </row>
    <row r="678" ht="15.75" customHeight="1" s="24">
      <c r="A678" s="33" t="inlineStr">
        <is>
          <t>F19, F22</t>
        </is>
      </c>
      <c r="B678" s="33" t="inlineStr">
        <is>
          <t>public/data/geo.json</t>
        </is>
      </c>
      <c r="C678" s="33" t="inlineStr">
        <is>
          <t>meta.generado_utc</t>
        </is>
      </c>
      <c r="D678" s="33" t="inlineStr">
        <is>
          <t>(pipeline)</t>
        </is>
      </c>
      <c r="E678" s="33" t="inlineStr">
        <is>
          <t>Momento en que el pipeline generó el archivo.</t>
        </is>
      </c>
      <c r="F678" s="33" t="inlineStr">
        <is>
          <t>Fecha</t>
        </is>
      </c>
      <c r="G678" s="33" t="inlineStr">
        <is>
          <t>fecha-hora UTC</t>
        </is>
      </c>
      <c r="H678" s="33" t="inlineStr">
        <is>
          <t>2026-10-26T12:25:12Z</t>
        </is>
      </c>
      <c r="I678" s="33" t="inlineStr">
        <is>
          <t>No</t>
        </is>
      </c>
      <c r="J678" s="33" t="inlineStr">
        <is>
          <t>2026-10-26T12:25:12Z</t>
        </is>
      </c>
      <c r="K678" s="33" t="inlineStr">
        <is>
          <t>Pública</t>
        </is>
      </c>
      <c r="L678" s="33" t="inlineStr">
        <is>
          <t>datetime.utcnow() al escribir el archivo.</t>
        </is>
      </c>
      <c r="M678" s="33" t="inlineStr">
        <is>
          <t>¿De cuándo son los datos que veo?</t>
        </is>
      </c>
    </row>
    <row r="679" ht="15.75" customHeight="1" s="24">
      <c r="A679" s="33" t="inlineStr">
        <is>
          <t>F19, F22</t>
        </is>
      </c>
      <c r="B679" s="33" t="inlineStr">
        <is>
          <t>public/data/geo.json</t>
        </is>
      </c>
      <c r="C679" s="33" t="inlineStr">
        <is>
          <t>meta.ciudad</t>
        </is>
      </c>
      <c r="D679" s="33" t="inlineStr">
        <is>
          <t>(pipeline)</t>
        </is>
      </c>
      <c r="E679" s="33" t="inlineStr">
        <is>
          <t>Ciudad a la que corresponde el archivo.</t>
        </is>
      </c>
      <c r="F679" s="33" t="inlineStr">
        <is>
          <t>Texto</t>
        </is>
      </c>
      <c r="G679" s="33" t="inlineStr">
        <is>
          <t>—</t>
        </is>
      </c>
      <c r="H679" s="33" t="inlineStr">
        <is>
          <t>Hong Kong</t>
        </is>
      </c>
      <c r="I679" s="33" t="inlineStr">
        <is>
          <t>No</t>
        </is>
      </c>
      <c r="J679" s="33" t="inlineStr">
        <is>
          <t>Hong Kong</t>
        </is>
      </c>
      <c r="K679" s="33" t="inlineStr">
        <is>
          <t>Pública</t>
        </is>
      </c>
      <c r="L679" s="33" t="inlineStr">
        <is>
          <t>Constante.</t>
        </is>
      </c>
      <c r="M679" s="33" t="inlineStr">
        <is>
          <t>¿De qué ciudad es el tablero?</t>
        </is>
      </c>
    </row>
    <row r="680" ht="15.75" customHeight="1" s="24">
      <c r="A680" s="33" t="inlineStr">
        <is>
          <t>F19, F22</t>
        </is>
      </c>
      <c r="B680" s="33" t="inlineStr">
        <is>
          <t>public/data/geo.json</t>
        </is>
      </c>
      <c r="C680" s="33" t="inlineStr">
        <is>
          <t>meta.unidad_territorial</t>
        </is>
      </c>
      <c r="D680" s="33" t="inlineStr">
        <is>
          <t>(pipeline)</t>
        </is>
      </c>
      <c r="E680" s="33" t="inlineStr">
        <is>
          <t>Unidad territorial de las filas del archivo.</t>
        </is>
      </c>
      <c r="F680" s="33" t="inlineStr">
        <is>
          <t>Texto</t>
        </is>
      </c>
      <c r="G680" s="33" t="inlineStr">
        <is>
          <t>—</t>
        </is>
      </c>
      <c r="H680" s="33" t="inlineStr">
        <is>
          <t>18 distritos (District Council districts)</t>
        </is>
      </c>
      <c r="I680" s="33" t="inlineStr">
        <is>
          <t>No</t>
        </is>
      </c>
      <c r="J680" s="33" t="inlineStr">
        <is>
          <t>18 distritos (District Council districts)</t>
        </is>
      </c>
      <c r="K680" s="33" t="inlineStr">
        <is>
          <t>Pública</t>
        </is>
      </c>
      <c r="L680" s="33" t="inlineStr">
        <is>
          <t>Constante.</t>
        </is>
      </c>
      <c r="M680" s="33" t="inlineStr">
        <is>
          <t>¿A qué escala se lee cada cifra?</t>
        </is>
      </c>
    </row>
    <row r="681" ht="15.75" customHeight="1" s="24">
      <c r="A681" s="33" t="inlineStr">
        <is>
          <t>F19, F22</t>
        </is>
      </c>
      <c r="B681" s="33" t="inlineStr">
        <is>
          <t>public/data/geo.json</t>
        </is>
      </c>
      <c r="C681" s="33" t="inlineStr">
        <is>
          <t>meta.catalogo</t>
        </is>
      </c>
      <c r="D681" s="33" t="inlineStr">
        <is>
          <t>(pipeline)</t>
        </is>
      </c>
      <c r="E681" s="33" t="inlineStr">
        <is>
          <t>Ruta al catálogo de fuentes que documenta el archivo.</t>
        </is>
      </c>
      <c r="F681" s="33" t="inlineStr">
        <is>
          <t>Texto</t>
        </is>
      </c>
      <c r="G681" s="33" t="inlineStr">
        <is>
          <t>—</t>
        </is>
      </c>
      <c r="H681" s="33" t="inlineStr">
        <is>
          <t>catalogo/catalogo.json</t>
        </is>
      </c>
      <c r="I681" s="33" t="inlineStr">
        <is>
          <t>No</t>
        </is>
      </c>
      <c r="J681" s="33" t="inlineStr">
        <is>
          <t>catalogo/catalogo.json</t>
        </is>
      </c>
      <c r="K681" s="33" t="inlineStr">
        <is>
          <t>Pública</t>
        </is>
      </c>
      <c r="L681" s="33" t="inlineStr">
        <is>
          <t>Constante.</t>
        </is>
      </c>
      <c r="M681" s="33" t="inlineStr">
        <is>
          <t>¿Dónde está la procedencia?</t>
        </is>
      </c>
    </row>
    <row r="682" ht="15.75" customHeight="1" s="24">
      <c r="A682" s="33" t="inlineStr">
        <is>
          <t>F19</t>
        </is>
      </c>
      <c r="B682" s="33" t="inlineStr">
        <is>
          <t>public/data/geo.json</t>
        </is>
      </c>
      <c r="C682" s="33" t="inlineStr">
        <is>
          <t>distritos.features[].properties.codigo</t>
        </is>
      </c>
      <c r="D682" s="33" t="inlineStr">
        <is>
          <t>dc_class / 1ª letra de CACODE</t>
        </is>
      </c>
      <c r="E682" s="33" t="inlineStr">
        <is>
          <t>Código de letra del distrito (A–T) usado por el censo y la EAC.</t>
        </is>
      </c>
      <c r="F682" s="33" t="inlineStr">
        <is>
          <t>Texto</t>
        </is>
      </c>
      <c r="G682" s="33" t="inlineStr">
        <is>
          <t>—</t>
        </is>
      </c>
      <c r="H682" s="33" t="inlineStr">
        <is>
          <t>A</t>
        </is>
      </c>
      <c r="I682" s="33" t="inlineStr">
        <is>
          <t>No</t>
        </is>
      </c>
      <c r="J682" s="33" t="inlineStr">
        <is>
          <t>18 valores distintos</t>
        </is>
      </c>
      <c r="K682" s="33" t="inlineStr">
        <is>
          <t>Pública</t>
        </is>
      </c>
      <c r="L682" s="33" t="inlineStr">
        <is>
          <t>Derivado de la primera letra del código DCCA; se usa como llave de unión entre todas las tablas.</t>
        </is>
      </c>
      <c r="M682" s="33" t="inlineStr">
        <is>
          <t>¿A qué distrito pertenece este registro?</t>
        </is>
      </c>
    </row>
    <row r="683" ht="15.75" customHeight="1" s="24">
      <c r="A683" s="33" t="inlineStr">
        <is>
          <t>F19</t>
        </is>
      </c>
      <c r="B683" s="33" t="inlineStr">
        <is>
          <t>public/data/geo.json</t>
        </is>
      </c>
      <c r="C683" s="33" t="inlineStr">
        <is>
          <t>distritos.features[].properties.distrito_en</t>
        </is>
      </c>
      <c r="D683" s="33" t="inlineStr">
        <is>
          <t>dc_eng</t>
        </is>
      </c>
      <c r="E683" s="33" t="inlineStr">
        <is>
          <t>Nombre oficial del distrito en inglés.</t>
        </is>
      </c>
      <c r="F683" s="33" t="inlineStr">
        <is>
          <t>Texto</t>
        </is>
      </c>
      <c r="G683" s="33" t="inlineStr">
        <is>
          <t>—</t>
        </is>
      </c>
      <c r="H683" s="33" t="inlineStr">
        <is>
          <t>Central and Western</t>
        </is>
      </c>
      <c r="I683" s="33" t="inlineStr">
        <is>
          <t>No</t>
        </is>
      </c>
      <c r="J683" s="33" t="inlineStr">
        <is>
          <t>18 valores distintos</t>
        </is>
      </c>
      <c r="K683" s="33" t="inlineStr">
        <is>
          <t>Pública</t>
        </is>
      </c>
      <c r="L683" s="33" t="inlineStr">
        <is>
          <t>Estandarizado contra la tabla maestra de 18 distritos.</t>
        </is>
      </c>
      <c r="M683" s="33" t="inlineStr">
        <is>
          <t>¿Cómo se llama el distrito?</t>
        </is>
      </c>
    </row>
    <row r="684" ht="15.75" customHeight="1" s="24">
      <c r="A684" s="33" t="inlineStr">
        <is>
          <t>F22</t>
        </is>
      </c>
      <c r="B684" s="33" t="inlineStr">
        <is>
          <t>public/data/geo.json</t>
        </is>
      </c>
      <c r="C684" s="33" t="inlineStr">
        <is>
          <t>distritos.features[].properties.distrito_zh</t>
        </is>
      </c>
      <c r="D684" s="33" t="inlineStr">
        <is>
          <t>District (中文)</t>
        </is>
      </c>
      <c r="E684" s="33" t="inlineStr">
        <is>
          <t>Nombre del distrito en chino tradicional.</t>
        </is>
      </c>
      <c r="F684" s="33" t="inlineStr">
        <is>
          <t>Texto</t>
        </is>
      </c>
      <c r="G684" s="33" t="inlineStr">
        <is>
          <t>—</t>
        </is>
      </c>
      <c r="H684" s="33" t="inlineStr">
        <is>
          <t>中西區</t>
        </is>
      </c>
      <c r="I684" s="33" t="inlineStr">
        <is>
          <t>No</t>
        </is>
      </c>
      <c r="J684" s="33" t="inlineStr">
        <is>
          <t>18 valores distintos</t>
        </is>
      </c>
      <c r="K684" s="33" t="inlineStr">
        <is>
          <t>Pública</t>
        </is>
      </c>
      <c r="L684" s="33" t="inlineStr">
        <is>
          <t>Copiado de curated/geo/distritos.csv (unión por codigo). Origen: Tomado de la tabla de Wikipedia y unido por nombre inglés.</t>
        </is>
      </c>
      <c r="M684" s="33" t="inlineStr">
        <is>
          <t>¿Cómo se llama el distrito en chino?</t>
        </is>
      </c>
    </row>
    <row r="685" ht="15.75" customHeight="1" s="24">
      <c r="A685" s="33" t="inlineStr">
        <is>
          <t>F19</t>
        </is>
      </c>
      <c r="B685" s="33" t="inlineStr">
        <is>
          <t>public/data/geo.json</t>
        </is>
      </c>
      <c r="C685" s="33" t="inlineStr">
        <is>
          <t>distritos.features[].properties.distrito_es</t>
        </is>
      </c>
      <c r="D685" s="33" t="inlineStr">
        <is>
          <t>(no existe en la fuente)</t>
        </is>
      </c>
      <c r="E685" s="33" t="inlineStr">
        <is>
          <t>Nombre del distrito en español para la interfaz.</t>
        </is>
      </c>
      <c r="F685" s="33" t="inlineStr">
        <is>
          <t>Texto</t>
        </is>
      </c>
      <c r="G685" s="33" t="inlineStr">
        <is>
          <t>—</t>
        </is>
      </c>
      <c r="H685" s="33" t="inlineStr">
        <is>
          <t>Centro y Oeste</t>
        </is>
      </c>
      <c r="I685" s="33" t="inlineStr">
        <is>
          <t>No</t>
        </is>
      </c>
      <c r="J685" s="33" t="inlineStr">
        <is>
          <t>18 valores distintos</t>
        </is>
      </c>
      <c r="K685" s="33" t="inlineStr">
        <is>
          <t>Pública</t>
        </is>
      </c>
      <c r="L685" s="33" t="inlineStr">
        <is>
          <t>Traducción propia del nombre inglés.</t>
        </is>
      </c>
      <c r="M685" s="33" t="inlineStr">
        <is>
          <t>¿Cómo mostrar el distrito al usuario?</t>
        </is>
      </c>
    </row>
    <row r="686" ht="15.75" customHeight="1" s="24">
      <c r="A686" s="33" t="inlineStr">
        <is>
          <t>F19</t>
        </is>
      </c>
      <c r="B686" s="33" t="inlineStr">
        <is>
          <t>public/data/geo.json</t>
        </is>
      </c>
      <c r="C686" s="33" t="inlineStr">
        <is>
          <t>distritos.features[].properties.region</t>
        </is>
      </c>
      <c r="D686" s="33" t="inlineStr">
        <is>
          <t>(no existe en la fuente)</t>
        </is>
      </c>
      <c r="E686" s="33" t="inlineStr">
        <is>
          <t>Gran región a la que pertenece el distrito (Isla de HK, Kowloon o Nuevos Territorios).</t>
        </is>
      </c>
      <c r="F686" s="33" t="inlineStr">
        <is>
          <t>Texto</t>
        </is>
      </c>
      <c r="G686" s="33" t="inlineStr">
        <is>
          <t>—</t>
        </is>
      </c>
      <c r="H686" s="33" t="inlineStr">
        <is>
          <t>Isla de Hong Kong</t>
        </is>
      </c>
      <c r="I686" s="33" t="inlineStr">
        <is>
          <t>No</t>
        </is>
      </c>
      <c r="J686" s="33" t="inlineStr">
        <is>
          <t>Isla de Hong Kong; Kowloon; Nuevos Territorios</t>
        </is>
      </c>
      <c r="K686" s="33" t="inlineStr">
        <is>
          <t>Pública</t>
        </is>
      </c>
      <c r="L686" s="33" t="inlineStr">
        <is>
          <t>Asignada por tabla maestra según la división administrativa oficial; traducida al español.</t>
        </is>
      </c>
      <c r="M686" s="33" t="inlineStr">
        <is>
          <t>¿Cómo se reparte la población entre las tres regiones? (Wiki 1.2)</t>
        </is>
      </c>
    </row>
    <row r="687" ht="15.75" customHeight="1" s="24">
      <c r="A687" s="33" t="inlineStr">
        <is>
          <t>F22</t>
        </is>
      </c>
      <c r="B687" s="33" t="inlineStr">
        <is>
          <t>public/data/geo.json</t>
        </is>
      </c>
      <c r="C687" s="33" t="inlineStr">
        <is>
          <t>distritos.features[].properties.area_km2_oficial</t>
        </is>
      </c>
      <c r="D687" s="33" t="inlineStr">
        <is>
          <t>Area (km²)</t>
        </is>
      </c>
      <c r="E687" s="33" t="inlineStr">
        <is>
          <t>Superficie terrestre oficial del distrito.</t>
        </is>
      </c>
      <c r="F687" s="33" t="inlineStr">
        <is>
          <t>Decimal</t>
        </is>
      </c>
      <c r="G687" s="33" t="inlineStr">
        <is>
          <t>km²</t>
        </is>
      </c>
      <c r="H687" s="33" t="inlineStr">
        <is>
          <t>12.55</t>
        </is>
      </c>
      <c r="I687" s="33" t="inlineStr">
        <is>
          <t>No</t>
        </is>
      </c>
      <c r="J687" s="33" t="inlineStr">
        <is>
          <t>6,99 a 182,7</t>
        </is>
      </c>
      <c r="K687" s="33" t="inlineStr">
        <is>
          <t>Pública</t>
        </is>
      </c>
      <c r="L687" s="33" t="inlineStr">
        <is>
          <t>Copiado de curated/geo/distritos.csv (unión por codigo). Origen: Copiado; unido por nombre inglés del distrito.</t>
        </is>
      </c>
      <c r="M687" s="33" t="inlineStr">
        <is>
          <t>¿Cuál es la densidad real de cada distrito? (Wiki 1.2, 6.5)</t>
        </is>
      </c>
    </row>
    <row r="688" ht="15.75" customHeight="1" s="24">
      <c r="A688" s="33" t="inlineStr">
        <is>
          <t>F19</t>
        </is>
      </c>
      <c r="B688" s="33" t="inlineStr">
        <is>
          <t>public/data/geo.json</t>
        </is>
      </c>
      <c r="C688" s="33" t="inlineStr">
        <is>
          <t>distritos.features[].properties.area_km2_poligono_incluye_mar</t>
        </is>
      </c>
      <c r="D688" s="33" t="inlineStr">
        <is>
          <t>(calculado)</t>
        </is>
      </c>
      <c r="E688" s="33" t="inlineStr">
        <is>
          <t>Área del polígono del distrito calculada en SIG, incluye superficie marina.</t>
        </is>
      </c>
      <c r="F688" s="33" t="inlineStr">
        <is>
          <t>Decimal</t>
        </is>
      </c>
      <c r="G688" s="33" t="inlineStr">
        <is>
          <t>km²</t>
        </is>
      </c>
      <c r="H688" s="33" t="inlineStr">
        <is>
          <t>19.755</t>
        </is>
      </c>
      <c r="I688" s="33" t="inlineStr">
        <is>
          <t>No</t>
        </is>
      </c>
      <c r="J688" s="33" t="inlineStr">
        <is>
          <t>9,303 a 766,5</t>
        </is>
      </c>
      <c r="K688" s="33" t="inlineStr">
        <is>
          <t>Pública</t>
        </is>
      </c>
      <c r="L688" s="33" t="inlineStr">
        <is>
          <t>Disolución de DCCA por distrito y cálculo de área en EPSG:2326.</t>
        </is>
      </c>
      <c r="M688" s="33" t="inlineStr">
        <is>
          <t>¿Cuánto mar incluyen los límites administrativos?</t>
        </is>
      </c>
    </row>
    <row r="689" ht="15.75" customHeight="1" s="24">
      <c r="A689" s="33" t="inlineStr">
        <is>
          <t>F19</t>
        </is>
      </c>
      <c r="B689" s="33" t="inlineStr">
        <is>
          <t>public/data/geo.json</t>
        </is>
      </c>
      <c r="C689" s="33" t="inlineStr">
        <is>
          <t>distritos.features[].properties.centro_lat</t>
        </is>
      </c>
      <c r="D689" s="33" t="inlineStr">
        <is>
          <t>(calculado)</t>
        </is>
      </c>
      <c r="E689" s="33" t="inlineStr">
        <is>
          <t>Latitud de un punto representativo interior del distrito (para etiquetas en el mapa).</t>
        </is>
      </c>
      <c r="F689" s="33" t="inlineStr">
        <is>
          <t>Decimal</t>
        </is>
      </c>
      <c r="G689" s="33" t="inlineStr">
        <is>
          <t>grados decimales (WGS84)</t>
        </is>
      </c>
      <c r="H689" s="33" t="inlineStr">
        <is>
          <t>22.274851</t>
        </is>
      </c>
      <c r="I689" s="33" t="inlineStr">
        <is>
          <t>No</t>
        </is>
      </c>
      <c r="J689" s="33" t="inlineStr">
        <is>
          <t>22,23 a 22,52</t>
        </is>
      </c>
      <c r="K689" s="33" t="inlineStr">
        <is>
          <t>Pública</t>
        </is>
      </c>
      <c r="L689" s="33" t="inlineStr">
        <is>
          <t>Copiado de curated/geo/distritos.csv (unión por codigo). Origen: representative_point() del polígono disuelto, reproyectado a WGS84.</t>
        </is>
      </c>
      <c r="M689" s="33" t="inlineStr">
        <is>
          <t>¿Dónde ubicar la etiqueta del distrito en el mapa?</t>
        </is>
      </c>
    </row>
    <row r="690" ht="15.75" customHeight="1" s="24">
      <c r="A690" s="33" t="inlineStr">
        <is>
          <t>F19</t>
        </is>
      </c>
      <c r="B690" s="33" t="inlineStr">
        <is>
          <t>public/data/geo.json</t>
        </is>
      </c>
      <c r="C690" s="33" t="inlineStr">
        <is>
          <t>distritos.features[].properties.centro_lon</t>
        </is>
      </c>
      <c r="D690" s="33" t="inlineStr">
        <is>
          <t>(calculado)</t>
        </is>
      </c>
      <c r="E690" s="33" t="inlineStr">
        <is>
          <t>Longitud de un punto representativo interior del distrito.</t>
        </is>
      </c>
      <c r="F690" s="33" t="inlineStr">
        <is>
          <t>Decimal</t>
        </is>
      </c>
      <c r="G690" s="33" t="inlineStr">
        <is>
          <t>grados decimales (WGS84)</t>
        </is>
      </c>
      <c r="H690" s="33" t="inlineStr">
        <is>
          <t>114.148691</t>
        </is>
      </c>
      <c r="I690" s="33" t="inlineStr">
        <is>
          <t>No</t>
        </is>
      </c>
      <c r="J690" s="33" t="inlineStr">
        <is>
          <t>113,9 a 114,4</t>
        </is>
      </c>
      <c r="K690" s="33" t="inlineStr">
        <is>
          <t>Pública</t>
        </is>
      </c>
      <c r="L690" s="33" t="inlineStr">
        <is>
          <t>Copiado de curated/geo/distritos.csv (unión por codigo). Origen: representative_point() del polígono disuelto, reproyectado a WGS84.</t>
        </is>
      </c>
      <c r="M690" s="33" t="inlineStr">
        <is>
          <t>¿Dónde ubicar la etiqueta del distrito en el mapa?</t>
        </is>
      </c>
    </row>
    <row r="691" ht="15.75" customHeight="1" s="24">
      <c r="A691" s="33" t="inlineStr">
        <is>
          <t>F19</t>
        </is>
      </c>
      <c r="B691" s="33" t="inlineStr">
        <is>
          <t>public/data/geo.json</t>
        </is>
      </c>
      <c r="C691" s="33" t="inlineStr">
        <is>
          <t>distritos.features[].properties.n_circunscripciones</t>
        </is>
      </c>
      <c r="D691" s="33" t="inlineStr">
        <is>
          <t>(calculado)</t>
        </is>
      </c>
      <c r="E691" s="33" t="inlineStr">
        <is>
          <t>Número de circunscripciones DCCA 2019 dentro del distrito.</t>
        </is>
      </c>
      <c r="F691" s="33" t="inlineStr">
        <is>
          <t>Entero</t>
        </is>
      </c>
      <c r="G691" s="33" t="inlineStr">
        <is>
          <t>conteo</t>
        </is>
      </c>
      <c r="H691" s="33" t="inlineStr">
        <is>
          <t>15</t>
        </is>
      </c>
      <c r="I691" s="33" t="inlineStr">
        <is>
          <t>No</t>
        </is>
      </c>
      <c r="J691" s="33" t="inlineStr">
        <is>
          <t>10 a 41</t>
        </is>
      </c>
      <c r="K691" s="33" t="inlineStr">
        <is>
          <t>Pública</t>
        </is>
      </c>
      <c r="L691" s="33" t="inlineStr">
        <is>
          <t>Copiado de curated/geo/distritos.csv (unión por codigo). Origen: Conteo de DCCA por código de distrito.</t>
        </is>
      </c>
      <c r="M691" s="33" t="inlineStr">
        <is>
          <t>¿Con cuánto detalle territorial se puede analizar cada distrito?</t>
        </is>
      </c>
    </row>
    <row r="692" ht="15.75" customHeight="1" s="24">
      <c r="A692" s="33" t="inlineStr">
        <is>
          <t>F19, F22</t>
        </is>
      </c>
      <c r="B692" s="33" t="inlineStr">
        <is>
          <t>public/data/geo.json</t>
        </is>
      </c>
      <c r="C692" s="33" t="inlineStr">
        <is>
          <t>distritos.features[].geometry</t>
        </is>
      </c>
      <c r="D692" s="33" t="inlineStr">
        <is>
          <t>geometry</t>
        </is>
      </c>
      <c r="E692" s="33" t="inlineStr">
        <is>
          <t>Polígono del área (distrito, región o circunscripción) en coordenadas lon/lat.</t>
        </is>
      </c>
      <c r="F692" s="33" t="inlineStr">
        <is>
          <t>Coordenada / geometría</t>
        </is>
      </c>
      <c r="G692" s="33" t="inlineStr">
        <is>
          <t>grados WGS84</t>
        </is>
      </c>
      <c r="H692" s="33" t="inlineStr">
        <is>
          <t>[[[114.12968, 22.275552], [114.123759, 2…</t>
        </is>
      </c>
      <c r="I692" s="33" t="inlineStr">
        <is>
          <t>No</t>
        </is>
      </c>
      <c r="J692" s="33" t="inlineStr">
        <is>
          <t>Polygon / MultiPolygon, EPSG:4326</t>
        </is>
      </c>
      <c r="K692" s="33" t="inlineStr">
        <is>
          <t>Pública</t>
        </is>
      </c>
      <c r="L692" s="33" t="inlineStr">
        <is>
          <t>Reproyectado de EPSG:2326 a 4326 y simplificado con geopandas.</t>
        </is>
      </c>
      <c r="M692" s="33" t="inlineStr">
        <is>
          <t>¿Dónde queda cada zona en el mapa?</t>
        </is>
      </c>
    </row>
    <row r="693" ht="15.75" customHeight="1" s="24">
      <c r="A693" s="33" t="inlineStr">
        <is>
          <t>F19</t>
        </is>
      </c>
      <c r="B693" s="33" t="inlineStr">
        <is>
          <t>public/data/geo.json</t>
        </is>
      </c>
      <c r="C693" s="33" t="inlineStr">
        <is>
          <t>regiones.features[].properties.region</t>
        </is>
      </c>
      <c r="D693" s="33" t="inlineStr">
        <is>
          <t>(no existe en la fuente)</t>
        </is>
      </c>
      <c r="E693" s="33" t="inlineStr">
        <is>
          <t>Gran región a la que pertenece el distrito (Isla de HK, Kowloon o Nuevos Territorios).</t>
        </is>
      </c>
      <c r="F693" s="33" t="inlineStr">
        <is>
          <t>Texto</t>
        </is>
      </c>
      <c r="G693" s="33" t="inlineStr">
        <is>
          <t>—</t>
        </is>
      </c>
      <c r="H693" s="33" t="inlineStr">
        <is>
          <t>Isla de Hong Kong</t>
        </is>
      </c>
      <c r="I693" s="33" t="inlineStr">
        <is>
          <t>No</t>
        </is>
      </c>
      <c r="J693" s="33" t="inlineStr">
        <is>
          <t>Isla de Hong Kong; Kowloon; Nuevos Territorios</t>
        </is>
      </c>
      <c r="K693" s="33" t="inlineStr">
        <is>
          <t>Pública</t>
        </is>
      </c>
      <c r="L693" s="33" t="inlineStr">
        <is>
          <t>Asignada por tabla maestra según la división administrativa oficial; traducida al español.</t>
        </is>
      </c>
      <c r="M693" s="33" t="inlineStr">
        <is>
          <t>¿Cómo se reparte la población entre las tres regiones? (Wiki 1.2)</t>
        </is>
      </c>
    </row>
    <row r="694" ht="15.75" customHeight="1" s="24">
      <c r="A694" s="33" t="inlineStr">
        <is>
          <t>F22</t>
        </is>
      </c>
      <c r="B694" s="33" t="inlineStr">
        <is>
          <t>public/data/geo.json</t>
        </is>
      </c>
      <c r="C694" s="33" t="inlineStr">
        <is>
          <t>regiones.features[].properties.area_km2</t>
        </is>
      </c>
      <c r="D694" s="33" t="inlineStr">
        <is>
          <t>Area (km²)</t>
        </is>
      </c>
      <c r="E694" s="33" t="inlineStr">
        <is>
          <t>Área terrestre oficial de la región (suma de sus distritos).</t>
        </is>
      </c>
      <c r="F694" s="33" t="inlineStr">
        <is>
          <t>Decimal</t>
        </is>
      </c>
      <c r="G694" s="33" t="inlineStr">
        <is>
          <t>km²</t>
        </is>
      </c>
      <c r="H694" s="33" t="inlineStr">
        <is>
          <t>152.18</t>
        </is>
      </c>
      <c r="I694" s="33" t="inlineStr">
        <is>
          <t>No</t>
        </is>
      </c>
      <c r="J694" s="33" t="inlineStr">
        <is>
          <t>59,96 a 2.542</t>
        </is>
      </c>
      <c r="K694" s="33" t="inlineStr">
        <is>
          <t>Pública</t>
        </is>
      </c>
      <c r="L694" s="33" t="inlineStr">
        <is>
          <t>dissolve por región y suma de áreas.</t>
        </is>
      </c>
      <c r="M694" s="33" t="inlineStr">
        <is>
          <t>¿Qué tan grande es cada región?</t>
        </is>
      </c>
    </row>
    <row r="695" ht="15.75" customHeight="1" s="24">
      <c r="A695" s="33" t="inlineStr">
        <is>
          <t>F19, F22</t>
        </is>
      </c>
      <c r="B695" s="33" t="inlineStr">
        <is>
          <t>public/data/geo.json</t>
        </is>
      </c>
      <c r="C695" s="33" t="inlineStr">
        <is>
          <t>regiones.features[].geometry</t>
        </is>
      </c>
      <c r="D695" s="33" t="inlineStr">
        <is>
          <t>geometry</t>
        </is>
      </c>
      <c r="E695" s="33" t="inlineStr">
        <is>
          <t>Polígono del área (distrito, región o circunscripción) en coordenadas lon/lat.</t>
        </is>
      </c>
      <c r="F695" s="33" t="inlineStr">
        <is>
          <t>Coordenada / geometría</t>
        </is>
      </c>
      <c r="G695" s="33" t="inlineStr">
        <is>
          <t>grados WGS84</t>
        </is>
      </c>
      <c r="H695" s="33" t="inlineStr">
        <is>
          <t>[[[114.139607, 22.238785], [114.132613, …</t>
        </is>
      </c>
      <c r="I695" s="33" t="inlineStr">
        <is>
          <t>No</t>
        </is>
      </c>
      <c r="J695" s="33" t="inlineStr">
        <is>
          <t>Polygon / MultiPolygon, EPSG:4326</t>
        </is>
      </c>
      <c r="K695" s="33" t="inlineStr">
        <is>
          <t>Pública</t>
        </is>
      </c>
      <c r="L695" s="33" t="inlineStr">
        <is>
          <t>Reproyectado de EPSG:2326 a 4326 y simplificado con geopandas.</t>
        </is>
      </c>
      <c r="M695" s="33" t="inlineStr">
        <is>
          <t>¿Dónde queda cada zona en el mapa?</t>
        </is>
      </c>
    </row>
    <row r="696" ht="15.75" customHeight="1" s="24">
      <c r="A696" s="33" t="inlineStr">
        <is>
          <t>F19</t>
        </is>
      </c>
      <c r="B696" s="33" t="inlineStr">
        <is>
          <t>public/data/geo_circunscripciones.json</t>
        </is>
      </c>
      <c r="C696" s="33" t="inlineStr">
        <is>
          <t>features[].properties.codigo_dcca</t>
        </is>
      </c>
      <c r="D696" s="33" t="inlineStr">
        <is>
          <t>CACODE</t>
        </is>
      </c>
      <c r="E696" s="33" t="inlineStr">
        <is>
          <t>Código de la circunscripción del Consejo de Distrito (DCCA 2019).</t>
        </is>
      </c>
      <c r="F696" s="33" t="inlineStr">
        <is>
          <t>Texto</t>
        </is>
      </c>
      <c r="G696" s="33" t="inlineStr">
        <is>
          <t>—</t>
        </is>
      </c>
      <c r="H696" s="33" t="inlineStr">
        <is>
          <t>B11</t>
        </is>
      </c>
      <c r="I696" s="33" t="inlineStr">
        <is>
          <t>No</t>
        </is>
      </c>
      <c r="J696" s="33" t="inlineStr">
        <is>
          <t>452 valores distintos</t>
        </is>
      </c>
      <c r="K696" s="33" t="inlineStr">
        <is>
          <t>Pública</t>
        </is>
      </c>
      <c r="L696" s="33" t="inlineStr">
        <is>
          <t>Renombrado; para puntos se asigna por unión espacial punto-en-polígono (o polígono más cercano ≤1 km).</t>
        </is>
      </c>
      <c r="M696" s="33" t="inlineStr">
        <is>
          <t>¿En qué circunscripción cae este punto o zona?</t>
        </is>
      </c>
    </row>
    <row r="697" ht="15.75" customHeight="1" s="24">
      <c r="A697" s="33" t="inlineStr">
        <is>
          <t>F19</t>
        </is>
      </c>
      <c r="B697" s="33" t="inlineStr">
        <is>
          <t>public/data/geo_circunscripciones.json</t>
        </is>
      </c>
      <c r="C697" s="33" t="inlineStr">
        <is>
          <t>features[].properties.nombre_en</t>
        </is>
      </c>
      <c r="D697" s="33" t="inlineStr">
        <is>
          <t>ENAME / name.en</t>
        </is>
      </c>
      <c r="E697" s="33" t="inlineStr">
        <is>
          <t>Nombre en inglés del lugar (circunscripción, parada o estación).</t>
        </is>
      </c>
      <c r="F697" s="33" t="inlineStr">
        <is>
          <t>Texto</t>
        </is>
      </c>
      <c r="G697" s="33" t="inlineStr">
        <is>
          <t>—</t>
        </is>
      </c>
      <c r="H697" s="33" t="inlineStr">
        <is>
          <t>Stubbs Road</t>
        </is>
      </c>
      <c r="I697" s="33" t="inlineStr">
        <is>
          <t>No</t>
        </is>
      </c>
      <c r="J697" s="33" t="inlineStr">
        <is>
          <t>452 valores distintos</t>
        </is>
      </c>
      <c r="K697" s="33" t="inlineStr">
        <is>
          <t>Pública</t>
        </is>
      </c>
      <c r="L697" s="33" t="inlineStr">
        <is>
          <t>Renombrado.</t>
        </is>
      </c>
      <c r="M697" s="33" t="inlineStr">
        <is>
          <t>¿Cómo se llama este lugar?</t>
        </is>
      </c>
    </row>
    <row r="698" ht="15.75" customHeight="1" s="24">
      <c r="A698" s="33" t="inlineStr">
        <is>
          <t>F19</t>
        </is>
      </c>
      <c r="B698" s="33" t="inlineStr">
        <is>
          <t>public/data/geo_circunscripciones.json</t>
        </is>
      </c>
      <c r="C698" s="33" t="inlineStr">
        <is>
          <t>features[].properties.nombre_zh</t>
        </is>
      </c>
      <c r="D698" s="33" t="inlineStr">
        <is>
          <t>CNAME / name.zh</t>
        </is>
      </c>
      <c r="E698" s="33" t="inlineStr">
        <is>
          <t>Nombre en chino del lugar (circunscripción, parada o estación).</t>
        </is>
      </c>
      <c r="F698" s="33" t="inlineStr">
        <is>
          <t>Texto</t>
        </is>
      </c>
      <c r="G698" s="33" t="inlineStr">
        <is>
          <t>—</t>
        </is>
      </c>
      <c r="H698" s="33" t="inlineStr">
        <is>
          <t>司徒拔道</t>
        </is>
      </c>
      <c r="I698" s="33" t="inlineStr">
        <is>
          <t>No</t>
        </is>
      </c>
      <c r="J698" s="33" t="inlineStr">
        <is>
          <t>452 valores distintos</t>
        </is>
      </c>
      <c r="K698" s="33" t="inlineStr">
        <is>
          <t>Pública</t>
        </is>
      </c>
      <c r="L698" s="33" t="inlineStr">
        <is>
          <t>Renombrado.</t>
        </is>
      </c>
      <c r="M698" s="33" t="inlineStr">
        <is>
          <t>¿Cómo se llama este lugar en chino?</t>
        </is>
      </c>
    </row>
    <row r="699" ht="15.75" customHeight="1" s="24">
      <c r="A699" s="33" t="inlineStr">
        <is>
          <t>F19</t>
        </is>
      </c>
      <c r="B699" s="33" t="inlineStr">
        <is>
          <t>public/data/geo_circunscripciones.json</t>
        </is>
      </c>
      <c r="C699" s="33" t="inlineStr">
        <is>
          <t>features[].properties.codigo</t>
        </is>
      </c>
      <c r="D699" s="33" t="inlineStr">
        <is>
          <t>dc_class / 1ª letra de CACODE</t>
        </is>
      </c>
      <c r="E699" s="33" t="inlineStr">
        <is>
          <t>Código de letra del distrito (A–T) usado por el censo y la EAC.</t>
        </is>
      </c>
      <c r="F699" s="33" t="inlineStr">
        <is>
          <t>Texto</t>
        </is>
      </c>
      <c r="G699" s="33" t="inlineStr">
        <is>
          <t>—</t>
        </is>
      </c>
      <c r="H699" s="33" t="inlineStr">
        <is>
          <t>B</t>
        </is>
      </c>
      <c r="I699" s="33" t="inlineStr">
        <is>
          <t>No</t>
        </is>
      </c>
      <c r="J699" s="33" t="inlineStr">
        <is>
          <t>18 valores distintos</t>
        </is>
      </c>
      <c r="K699" s="33" t="inlineStr">
        <is>
          <t>Pública</t>
        </is>
      </c>
      <c r="L699" s="33" t="inlineStr">
        <is>
          <t>Derivado de la primera letra del código DCCA; se usa como llave de unión entre todas las tablas.</t>
        </is>
      </c>
      <c r="M699" s="33" t="inlineStr">
        <is>
          <t>¿A qué distrito pertenece este registro?</t>
        </is>
      </c>
    </row>
    <row r="700" ht="15.75" customHeight="1" s="24">
      <c r="A700" s="33" t="inlineStr">
        <is>
          <t>F19</t>
        </is>
      </c>
      <c r="B700" s="33" t="inlineStr">
        <is>
          <t>public/data/geo_circunscripciones.json</t>
        </is>
      </c>
      <c r="C700" s="33" t="inlineStr">
        <is>
          <t>features[].properties.distrito_en</t>
        </is>
      </c>
      <c r="D700" s="33" t="inlineStr">
        <is>
          <t>dc_eng</t>
        </is>
      </c>
      <c r="E700" s="33" t="inlineStr">
        <is>
          <t>Nombre oficial del distrito en inglés.</t>
        </is>
      </c>
      <c r="F700" s="33" t="inlineStr">
        <is>
          <t>Texto</t>
        </is>
      </c>
      <c r="G700" s="33" t="inlineStr">
        <is>
          <t>—</t>
        </is>
      </c>
      <c r="H700" s="33" t="inlineStr">
        <is>
          <t>Wan Chai</t>
        </is>
      </c>
      <c r="I700" s="33" t="inlineStr">
        <is>
          <t>No</t>
        </is>
      </c>
      <c r="J700" s="33" t="inlineStr">
        <is>
          <t>18 valores distintos</t>
        </is>
      </c>
      <c r="K700" s="33" t="inlineStr">
        <is>
          <t>Pública</t>
        </is>
      </c>
      <c r="L700" s="33" t="inlineStr">
        <is>
          <t>Estandarizado contra la tabla maestra de 18 distritos.</t>
        </is>
      </c>
      <c r="M700" s="33" t="inlineStr">
        <is>
          <t>¿Cómo se llama el distrito?</t>
        </is>
      </c>
    </row>
    <row r="701" ht="15.75" customHeight="1" s="24">
      <c r="A701" s="33" t="inlineStr">
        <is>
          <t>F19</t>
        </is>
      </c>
      <c r="B701" s="33" t="inlineStr">
        <is>
          <t>public/data/geo_circunscripciones.json</t>
        </is>
      </c>
      <c r="C701" s="33" t="inlineStr">
        <is>
          <t>features[].properties.distrito_es</t>
        </is>
      </c>
      <c r="D701" s="33" t="inlineStr">
        <is>
          <t>(no existe en la fuente)</t>
        </is>
      </c>
      <c r="E701" s="33" t="inlineStr">
        <is>
          <t>Nombre del distrito en español para la interfaz.</t>
        </is>
      </c>
      <c r="F701" s="33" t="inlineStr">
        <is>
          <t>Texto</t>
        </is>
      </c>
      <c r="G701" s="33" t="inlineStr">
        <is>
          <t>—</t>
        </is>
      </c>
      <c r="H701" s="33" t="inlineStr">
        <is>
          <t>Wan Chai</t>
        </is>
      </c>
      <c r="I701" s="33" t="inlineStr">
        <is>
          <t>No</t>
        </is>
      </c>
      <c r="J701" s="33" t="inlineStr">
        <is>
          <t>18 valores distintos</t>
        </is>
      </c>
      <c r="K701" s="33" t="inlineStr">
        <is>
          <t>Pública</t>
        </is>
      </c>
      <c r="L701" s="33" t="inlineStr">
        <is>
          <t>Traducción propia del nombre inglés.</t>
        </is>
      </c>
      <c r="M701" s="33" t="inlineStr">
        <is>
          <t>¿Cómo mostrar el distrito al usuario?</t>
        </is>
      </c>
    </row>
    <row r="702" ht="15.75" customHeight="1" s="24">
      <c r="A702" s="33" t="inlineStr">
        <is>
          <t>F19</t>
        </is>
      </c>
      <c r="B702" s="33" t="inlineStr">
        <is>
          <t>public/data/geo_circunscripciones.json</t>
        </is>
      </c>
      <c r="C702" s="33" t="inlineStr">
        <is>
          <t>features[].properties.region</t>
        </is>
      </c>
      <c r="D702" s="33" t="inlineStr">
        <is>
          <t>(no existe en la fuente)</t>
        </is>
      </c>
      <c r="E702" s="33" t="inlineStr">
        <is>
          <t>Gran región a la que pertenece el distrito (Isla de HK, Kowloon o Nuevos Territorios).</t>
        </is>
      </c>
      <c r="F702" s="33" t="inlineStr">
        <is>
          <t>Texto</t>
        </is>
      </c>
      <c r="G702" s="33" t="inlineStr">
        <is>
          <t>—</t>
        </is>
      </c>
      <c r="H702" s="33" t="inlineStr">
        <is>
          <t>Isla de Hong Kong</t>
        </is>
      </c>
      <c r="I702" s="33" t="inlineStr">
        <is>
          <t>No</t>
        </is>
      </c>
      <c r="J702" s="33" t="inlineStr">
        <is>
          <t>Isla de Hong Kong; Kowloon; Nuevos Territorios</t>
        </is>
      </c>
      <c r="K702" s="33" t="inlineStr">
        <is>
          <t>Pública</t>
        </is>
      </c>
      <c r="L702" s="33" t="inlineStr">
        <is>
          <t>Asignada por tabla maestra según la división administrativa oficial; traducida al español.</t>
        </is>
      </c>
      <c r="M702" s="33" t="inlineStr">
        <is>
          <t>¿Cómo se reparte la población entre las tres regiones? (Wiki 1.2)</t>
        </is>
      </c>
    </row>
    <row r="703" ht="15.75" customHeight="1" s="24">
      <c r="A703" s="33" t="inlineStr">
        <is>
          <t>F19</t>
        </is>
      </c>
      <c r="B703" s="33" t="inlineStr">
        <is>
          <t>public/data/geo_circunscripciones.json</t>
        </is>
      </c>
      <c r="C703" s="33" t="inlineStr">
        <is>
          <t>features[].properties.area_km2_poligono</t>
        </is>
      </c>
      <c r="D703" s="33" t="inlineStr">
        <is>
          <t>Shape_Area (recalculado)</t>
        </is>
      </c>
      <c r="E703" s="33" t="inlineStr">
        <is>
          <t>Área del polígono de la circunscripción calculada en SIG (incluye mar).</t>
        </is>
      </c>
      <c r="F703" s="33" t="inlineStr">
        <is>
          <t>Decimal</t>
        </is>
      </c>
      <c r="G703" s="33" t="inlineStr">
        <is>
          <t>km²</t>
        </is>
      </c>
      <c r="H703" s="33" t="inlineStr">
        <is>
          <t>4.2032</t>
        </is>
      </c>
      <c r="I703" s="33" t="inlineStr">
        <is>
          <t>No</t>
        </is>
      </c>
      <c r="J703" s="33" t="inlineStr">
        <is>
          <t>0,0458 a 388,9</t>
        </is>
      </c>
      <c r="K703" s="33" t="inlineStr">
        <is>
          <t>Pública</t>
        </is>
      </c>
      <c r="L703" s="33" t="inlineStr">
        <is>
          <t>Área recalculada en EPSG:2326 tras reparar geometrías (buffer 0).</t>
        </is>
      </c>
      <c r="M703" s="33" t="inlineStr">
        <is>
          <t>¿Qué tan grande es cada circunscripción?</t>
        </is>
      </c>
    </row>
    <row r="704" ht="15.75" customHeight="1" s="24">
      <c r="A704" s="33" t="inlineStr">
        <is>
          <t>F19</t>
        </is>
      </c>
      <c r="B704" s="33" t="inlineStr">
        <is>
          <t>public/data/geo_circunscripciones.json</t>
        </is>
      </c>
      <c r="C704" s="33" t="inlineStr">
        <is>
          <t>features[].geometry</t>
        </is>
      </c>
      <c r="D704" s="33" t="inlineStr">
        <is>
          <t>geometry</t>
        </is>
      </c>
      <c r="E704" s="33" t="inlineStr">
        <is>
          <t>Polígono del área (distrito, región o circunscripción) en coordenadas lon/lat.</t>
        </is>
      </c>
      <c r="F704" s="33" t="inlineStr">
        <is>
          <t>Coordenada / geometría</t>
        </is>
      </c>
      <c r="G704" s="33" t="inlineStr">
        <is>
          <t>grados WGS84</t>
        </is>
      </c>
      <c r="H704" s="33" t="inlineStr">
        <is>
          <t>[[[114.179472, 22.274215], [114.180185, …</t>
        </is>
      </c>
      <c r="I704" s="33" t="inlineStr">
        <is>
          <t>No</t>
        </is>
      </c>
      <c r="J704" s="33" t="inlineStr">
        <is>
          <t>Polygon / MultiPolygon, EPSG:4326</t>
        </is>
      </c>
      <c r="K704" s="33" t="inlineStr">
        <is>
          <t>Pública</t>
        </is>
      </c>
      <c r="L704" s="33" t="inlineStr">
        <is>
          <t>Reproyectado de EPSG:2326 a 4326 y simplificado con geopandas.</t>
        </is>
      </c>
      <c r="M704" s="33" t="inlineStr">
        <is>
          <t>¿Dónde queda cada zona en el mapa?</t>
        </is>
      </c>
    </row>
    <row r="705" ht="15.75" customHeight="1" s="24">
      <c r="A705" s="33" t="inlineStr">
        <is>
          <t>F23, F24, F25</t>
        </is>
      </c>
      <c r="B705" s="33" t="inlineStr">
        <is>
          <t>public/data/hex_h3_res8.geojson</t>
        </is>
      </c>
      <c r="C705" s="33" t="inlineStr">
        <is>
          <t>features[].properties.h3</t>
        </is>
      </c>
      <c r="D705" s="33" t="inlineStr">
        <is>
          <t>(calculado)</t>
        </is>
      </c>
      <c r="E705" s="33" t="inlineStr">
        <is>
          <t>Índice de la celda hexagonal H3 resolución 8 (~0,74 km²).</t>
        </is>
      </c>
      <c r="F705" s="33" t="inlineStr">
        <is>
          <t>Texto</t>
        </is>
      </c>
      <c r="G705" s="33" t="inlineStr">
        <is>
          <t>—</t>
        </is>
      </c>
      <c r="H705" s="33" t="inlineStr">
        <is>
          <t>8841034805fffff</t>
        </is>
      </c>
      <c r="I705" s="33" t="inlineStr">
        <is>
          <t>No</t>
        </is>
      </c>
      <c r="J705" s="33" t="inlineStr">
        <is>
          <t>715 valores distintos</t>
        </is>
      </c>
      <c r="K705" s="33" t="inlineStr">
        <is>
          <t>Pública</t>
        </is>
      </c>
      <c r="L705" s="33" t="inlineStr">
        <is>
          <t>h3.latlng_to_cell(lat, lon, 8).</t>
        </is>
      </c>
      <c r="M705" s="33" t="inlineStr">
        <is>
          <t>¿En qué celda de la malla cae cada activo?</t>
        </is>
      </c>
    </row>
    <row r="706" ht="15.75" customHeight="1" s="24">
      <c r="A706" s="33" t="inlineStr">
        <is>
          <t>F23, F24, F25</t>
        </is>
      </c>
      <c r="B706" s="33" t="inlineStr">
        <is>
          <t>public/data/hex_h3_res8.geojson</t>
        </is>
      </c>
      <c r="C706" s="33" t="inlineStr">
        <is>
          <t>features[].properties.estacion_meteorologica</t>
        </is>
      </c>
      <c r="D706" s="33" t="inlineStr">
        <is>
          <t>(calculado)</t>
        </is>
      </c>
      <c r="E706" s="33" t="inlineStr">
        <is>
          <t>Estaciones meteorológicas en la celda.</t>
        </is>
      </c>
      <c r="F706" s="33" t="inlineStr">
        <is>
          <t>Entero</t>
        </is>
      </c>
      <c r="G706" s="33" t="inlineStr">
        <is>
          <t>estaciones</t>
        </is>
      </c>
      <c r="H706" s="33" t="inlineStr">
        <is>
          <t>0</t>
        </is>
      </c>
      <c r="I706" s="33" t="inlineStr">
        <is>
          <t>No</t>
        </is>
      </c>
      <c r="J706" s="33" t="inlineStr">
        <is>
          <t>0 a 2</t>
        </is>
      </c>
      <c r="K706" s="33" t="inlineStr">
        <is>
          <t>Pública</t>
        </is>
      </c>
      <c r="L706" s="33" t="inlineStr">
        <is>
          <t>Conteo por celda H3.</t>
        </is>
      </c>
      <c r="M706" s="33" t="inlineStr">
        <is>
          <t>¿Dónde hay sensores climáticos?</t>
        </is>
      </c>
    </row>
    <row r="707" ht="15.75" customHeight="1" s="24">
      <c r="A707" s="33" t="inlineStr">
        <is>
          <t>F23, F24, F25</t>
        </is>
      </c>
      <c r="B707" s="33" t="inlineStr">
        <is>
          <t>public/data/hex_h3_res8.geojson</t>
        </is>
      </c>
      <c r="C707" s="33" t="inlineStr">
        <is>
          <t>features[].properties.hospital_urgencias</t>
        </is>
      </c>
      <c r="D707" s="33" t="inlineStr">
        <is>
          <t>(calculado)</t>
        </is>
      </c>
      <c r="E707" s="33" t="inlineStr">
        <is>
          <t>Hospitales con urgencias en la celda.</t>
        </is>
      </c>
      <c r="F707" s="33" t="inlineStr">
        <is>
          <t>Entero</t>
        </is>
      </c>
      <c r="G707" s="33" t="inlineStr">
        <is>
          <t>hospitales</t>
        </is>
      </c>
      <c r="H707" s="33" t="inlineStr">
        <is>
          <t>0</t>
        </is>
      </c>
      <c r="I707" s="33" t="inlineStr">
        <is>
          <t>No</t>
        </is>
      </c>
      <c r="J707" s="33" t="inlineStr">
        <is>
          <t>0 a 2</t>
        </is>
      </c>
      <c r="K707" s="33" t="inlineStr">
        <is>
          <t>Pública</t>
        </is>
      </c>
      <c r="L707" s="33" t="inlineStr">
        <is>
          <t>Conteo por celda H3.</t>
        </is>
      </c>
      <c r="M707" s="33" t="inlineStr">
        <is>
          <t>¿Dónde están las urgencias?</t>
        </is>
      </c>
    </row>
    <row r="708" ht="15.75" customHeight="1" s="24">
      <c r="A708" s="33" t="inlineStr">
        <is>
          <t>F23, F24, F25</t>
        </is>
      </c>
      <c r="B708" s="33" t="inlineStr">
        <is>
          <t>public/data/hex_h3_res8.geojson</t>
        </is>
      </c>
      <c r="C708" s="33" t="inlineStr">
        <is>
          <t>features[].properties.parada_transporte</t>
        </is>
      </c>
      <c r="D708" s="33" t="inlineStr">
        <is>
          <t>(calculado)</t>
        </is>
      </c>
      <c r="E708" s="33" t="inlineStr">
        <is>
          <t>Paradas de transporte en la celda.</t>
        </is>
      </c>
      <c r="F708" s="33" t="inlineStr">
        <is>
          <t>Entero</t>
        </is>
      </c>
      <c r="G708" s="33" t="inlineStr">
        <is>
          <t>paradas</t>
        </is>
      </c>
      <c r="H708" s="33" t="inlineStr">
        <is>
          <t>1</t>
        </is>
      </c>
      <c r="I708" s="33" t="inlineStr">
        <is>
          <t>No</t>
        </is>
      </c>
      <c r="J708" s="33" t="inlineStr">
        <is>
          <t>0 a 159</t>
        </is>
      </c>
      <c r="K708" s="33" t="inlineStr">
        <is>
          <t>Pública</t>
        </is>
      </c>
      <c r="L708" s="33" t="inlineStr">
        <is>
          <t>Conteo por celda H3.</t>
        </is>
      </c>
      <c r="M708" s="33" t="inlineStr">
        <is>
          <t>¿Dónde se concentra la red de transporte?</t>
        </is>
      </c>
    </row>
    <row r="709" ht="15.75" customHeight="1" s="24">
      <c r="A709" s="33" t="inlineStr">
        <is>
          <t>F23, F24, F25</t>
        </is>
      </c>
      <c r="B709" s="33" t="inlineStr">
        <is>
          <t>public/data/hex_h3_res8.geojson</t>
        </is>
      </c>
      <c r="C709" s="33" t="inlineStr">
        <is>
          <t>features[].properties.rutas_servidas</t>
        </is>
      </c>
      <c r="D709" s="33" t="inlineStr">
        <is>
          <t>(calculado)</t>
        </is>
      </c>
      <c r="E709" s="33" t="inlineStr">
        <is>
          <t>Suma de rutas en las paradas de la celda.</t>
        </is>
      </c>
      <c r="F709" s="33" t="inlineStr">
        <is>
          <t>Entero</t>
        </is>
      </c>
      <c r="G709" s="33" t="inlineStr">
        <is>
          <t>rutas-parada</t>
        </is>
      </c>
      <c r="H709" s="33" t="inlineStr">
        <is>
          <t>1</t>
        </is>
      </c>
      <c r="I709" s="33" t="inlineStr">
        <is>
          <t>No</t>
        </is>
      </c>
      <c r="J709" s="33" t="inlineStr">
        <is>
          <t>0 a 1.060</t>
        </is>
      </c>
      <c r="K709" s="33" t="inlineStr">
        <is>
          <t>Pública</t>
        </is>
      </c>
      <c r="L709" s="33" t="inlineStr">
        <is>
          <t>Suma de n_rutas por celda.</t>
        </is>
      </c>
      <c r="M709" s="33" t="inlineStr">
        <is>
          <t>¿Qué celdas tienen más servicio de transporte?</t>
        </is>
      </c>
    </row>
    <row r="710" ht="15.75" customHeight="1" s="24">
      <c r="A710" s="33" t="inlineStr">
        <is>
          <t>F19</t>
        </is>
      </c>
      <c r="B710" s="33" t="inlineStr">
        <is>
          <t>public/data/hex_h3_res8.geojson</t>
        </is>
      </c>
      <c r="C710" s="33" t="inlineStr">
        <is>
          <t>features[].properties.codigo</t>
        </is>
      </c>
      <c r="D710" s="33" t="inlineStr">
        <is>
          <t>dc_class / 1ª letra de CACODE</t>
        </is>
      </c>
      <c r="E710" s="33" t="inlineStr">
        <is>
          <t>Código de letra del distrito (A–T) usado por el censo y la EAC.</t>
        </is>
      </c>
      <c r="F710" s="33" t="inlineStr">
        <is>
          <t>Texto</t>
        </is>
      </c>
      <c r="G710" s="33" t="inlineStr">
        <is>
          <t>—</t>
        </is>
      </c>
      <c r="H710" s="33" t="inlineStr">
        <is>
          <t>D</t>
        </is>
      </c>
      <c r="I710" s="33" t="inlineStr">
        <is>
          <t>Sí</t>
        </is>
      </c>
      <c r="J710" s="33" t="inlineStr">
        <is>
          <t>18 valores distintos</t>
        </is>
      </c>
      <c r="K710" s="33" t="inlineStr">
        <is>
          <t>Pública</t>
        </is>
      </c>
      <c r="L710" s="33" t="inlineStr">
        <is>
          <t>Derivado de la primera letra del código DCCA; se usa como llave de unión entre todas las tablas.</t>
        </is>
      </c>
      <c r="M710" s="33" t="inlineStr">
        <is>
          <t>¿A qué distrito pertenece este registro?</t>
        </is>
      </c>
    </row>
    <row r="711" ht="15.75" customHeight="1" s="24">
      <c r="A711" s="33" t="inlineStr">
        <is>
          <t>F23, F24, F25</t>
        </is>
      </c>
      <c r="B711" s="33" t="inlineStr">
        <is>
          <t>public/data/hex_h3_res8.geojson</t>
        </is>
      </c>
      <c r="C711" s="33" t="inlineStr">
        <is>
          <t>features[].properties.nivel_cobertura</t>
        </is>
      </c>
      <c r="D711" s="33" t="inlineStr">
        <is>
          <t>(calculado)</t>
        </is>
      </c>
      <c r="E711" s="33" t="inlineStr">
        <is>
          <t>Nivel de cobertura de transporte de la celda según su cuartil de paradas.</t>
        </is>
      </c>
      <c r="F711" s="33" t="inlineStr">
        <is>
          <t>Texto</t>
        </is>
      </c>
      <c r="G711" s="33" t="inlineStr">
        <is>
          <t>—</t>
        </is>
      </c>
      <c r="H711" s="33" t="inlineStr">
        <is>
          <t>baja</t>
        </is>
      </c>
      <c r="I711" s="33" t="inlineStr">
        <is>
          <t>No</t>
        </is>
      </c>
      <c r="J711" s="33" t="inlineStr">
        <is>
          <t>alta; baja; media; muy_alta</t>
        </is>
      </c>
      <c r="K711" s="33" t="inlineStr">
        <is>
          <t>Pública</t>
        </is>
      </c>
      <c r="L711" s="33" t="inlineStr">
        <is>
          <t>Cuartiles del rango percentil de parada_transporte.</t>
        </is>
      </c>
      <c r="M711" s="33" t="inlineStr">
        <is>
          <t>¿Qué zonas están sub-servidas en transporte?</t>
        </is>
      </c>
    </row>
    <row r="712" ht="15.75" customHeight="1" s="24">
      <c r="A712" s="33" t="inlineStr">
        <is>
          <t>F23</t>
        </is>
      </c>
      <c r="B712" s="33" t="inlineStr">
        <is>
          <t>public/data/hex_h3_res8.geojson</t>
        </is>
      </c>
      <c r="C712" s="33" t="inlineStr">
        <is>
          <t>features[].geometry</t>
        </is>
      </c>
      <c r="D712" s="33" t="inlineStr">
        <is>
          <t>geometry</t>
        </is>
      </c>
      <c r="E712" s="33" t="inlineStr">
        <is>
          <t>Polígono del hexágono H3 en coordenadas lon/lat.</t>
        </is>
      </c>
      <c r="F712" s="33" t="inlineStr">
        <is>
          <t>Coordenada / geometría</t>
        </is>
      </c>
      <c r="G712" s="33" t="inlineStr">
        <is>
          <t>grados WGS84</t>
        </is>
      </c>
      <c r="H712" s="33" t="inlineStr">
        <is>
          <t>[[[114.200433, 22.209233], [114.201091, …</t>
        </is>
      </c>
      <c r="I712" s="33" t="inlineStr">
        <is>
          <t>No</t>
        </is>
      </c>
      <c r="J712" s="33" t="inlineStr">
        <is>
          <t>Polygon / MultiPolygon, EPSG:4326</t>
        </is>
      </c>
      <c r="K712" s="33" t="inlineStr">
        <is>
          <t>Pública</t>
        </is>
      </c>
      <c r="L712" s="33" t="inlineStr">
        <is>
          <t>h3.cell_to_boundary.</t>
        </is>
      </c>
      <c r="M712" s="33" t="inlineStr">
        <is>
          <t>¿Dónde queda cada zona en el mapa?</t>
        </is>
      </c>
    </row>
    <row r="713" ht="15.75" customHeight="1" s="24">
      <c r="A713" s="33" t="inlineStr">
        <is>
          <t>F23, F19</t>
        </is>
      </c>
      <c r="B713" s="33" t="inlineStr">
        <is>
          <t>public/data/infraestructura_paradas.json</t>
        </is>
      </c>
      <c r="C713" s="33" t="inlineStr">
        <is>
          <t>filas[][0] (id)</t>
        </is>
      </c>
      <c r="D713" s="33" t="inlineStr">
        <is>
          <t>id_parada / hospital_en / codigo_estacion:tipo</t>
        </is>
      </c>
      <c r="E713" s="33" t="inlineStr">
        <is>
          <t>Identificador del activo dentro de su capa.</t>
        </is>
      </c>
      <c r="F713" s="33" t="inlineStr">
        <is>
          <t>Texto</t>
        </is>
      </c>
      <c r="G713" s="33" t="inlineStr">
        <is>
          <t>—</t>
        </is>
      </c>
      <c r="H713" s="33" t="inlineStr">
        <is>
          <t>00040ED8B61CA94B</t>
        </is>
      </c>
      <c r="I713" s="33" t="inlineStr">
        <is>
          <t>No</t>
        </is>
      </c>
      <c r="J713" s="33" t="inlineStr">
        <is>
          <t>15285 valores distintos</t>
        </is>
      </c>
      <c r="K713" s="33" t="inlineStr">
        <is>
          <t>Pública</t>
        </is>
      </c>
      <c r="L713" s="33" t="inlineStr">
        <is>
          <t>Unificado en una sola columna.</t>
        </is>
      </c>
      <c r="M713" s="33" t="inlineStr">
        <is>
          <t>¿Qué activo es?</t>
        </is>
      </c>
    </row>
    <row r="714" ht="15.75" customHeight="1" s="24">
      <c r="A714" s="33" t="inlineStr">
        <is>
          <t>F23, F19</t>
        </is>
      </c>
      <c r="B714" s="33" t="inlineStr">
        <is>
          <t>public/data/infraestructura_paradas.json</t>
        </is>
      </c>
      <c r="C714" s="33" t="inlineStr">
        <is>
          <t>filas[][1] (nombre)</t>
        </is>
      </c>
      <c r="D714" s="33" t="inlineStr">
        <is>
          <t>nombre_en / hospital_en / estacion</t>
        </is>
      </c>
      <c r="E714" s="33" t="inlineStr">
        <is>
          <t>Nombre del activo.</t>
        </is>
      </c>
      <c r="F714" s="33" t="inlineStr">
        <is>
          <t>Texto</t>
        </is>
      </c>
      <c r="G714" s="33" t="inlineStr">
        <is>
          <t>—</t>
        </is>
      </c>
      <c r="H714" s="33" t="inlineStr">
        <is>
          <t>PUBLIC SQUARE STREET YAU MA TEI (YT545)</t>
        </is>
      </c>
      <c r="I714" s="33" t="inlineStr">
        <is>
          <t>No</t>
        </is>
      </c>
      <c r="J714" s="33" t="inlineStr">
        <is>
          <t>13109 valores distintos</t>
        </is>
      </c>
      <c r="K714" s="33" t="inlineStr">
        <is>
          <t>Pública</t>
        </is>
      </c>
      <c r="L714" s="33" t="inlineStr">
        <is>
          <t>Unificado en una sola columna.</t>
        </is>
      </c>
      <c r="M714" s="33" t="inlineStr">
        <is>
          <t>¿Cómo se llama el activo?</t>
        </is>
      </c>
    </row>
    <row r="715" ht="15.75" customHeight="1" s="24">
      <c r="A715" s="33" t="inlineStr">
        <is>
          <t>F23, F19</t>
        </is>
      </c>
      <c r="B715" s="33" t="inlineStr">
        <is>
          <t>public/data/infraestructura_paradas.json</t>
        </is>
      </c>
      <c r="C715" s="33" t="inlineStr">
        <is>
          <t>filas[][2] (lat)</t>
        </is>
      </c>
      <c r="D715" s="33" t="inlineStr">
        <is>
          <t>location.lat / Latitude / lat</t>
        </is>
      </c>
      <c r="E715" s="33" t="inlineStr">
        <is>
          <t>Latitud del punto.</t>
        </is>
      </c>
      <c r="F715" s="33" t="inlineStr">
        <is>
          <t>Decimal</t>
        </is>
      </c>
      <c r="G715" s="33" t="inlineStr">
        <is>
          <t>grados decimales (WGS84)</t>
        </is>
      </c>
      <c r="H715" s="33" t="inlineStr">
        <is>
          <t>22.30974</t>
        </is>
      </c>
      <c r="I715" s="33" t="inlineStr">
        <is>
          <t>No</t>
        </is>
      </c>
      <c r="J715" s="33" t="inlineStr">
        <is>
          <t>22,21 a 22,55</t>
        </is>
      </c>
      <c r="K715" s="33" t="inlineStr">
        <is>
          <t>Pública</t>
        </is>
      </c>
      <c r="L715" s="33" t="inlineStr">
        <is>
          <t>En estaciones HKO se convirtió de grados-minutos-segundos a decimal.</t>
        </is>
      </c>
      <c r="M715" s="33" t="inlineStr">
        <is>
          <t>¿Dónde está ubicado en el mapa?</t>
        </is>
      </c>
    </row>
    <row r="716" ht="15.75" customHeight="1" s="24">
      <c r="A716" s="33" t="inlineStr">
        <is>
          <t>F23, F19</t>
        </is>
      </c>
      <c r="B716" s="33" t="inlineStr">
        <is>
          <t>public/data/infraestructura_paradas.json</t>
        </is>
      </c>
      <c r="C716" s="33" t="inlineStr">
        <is>
          <t>filas[][3] (lon)</t>
        </is>
      </c>
      <c r="D716" s="33" t="inlineStr">
        <is>
          <t>location.lng / Longitude / long</t>
        </is>
      </c>
      <c r="E716" s="33" t="inlineStr">
        <is>
          <t>Longitud del punto.</t>
        </is>
      </c>
      <c r="F716" s="33" t="inlineStr">
        <is>
          <t>Decimal</t>
        </is>
      </c>
      <c r="G716" s="33" t="inlineStr">
        <is>
          <t>grados decimales (WGS84)</t>
        </is>
      </c>
      <c r="H716" s="33" t="inlineStr">
        <is>
          <t>114.17141</t>
        </is>
      </c>
      <c r="I716" s="33" t="inlineStr">
        <is>
          <t>No</t>
        </is>
      </c>
      <c r="J716" s="33" t="inlineStr">
        <is>
          <t>113,9 a 114,4</t>
        </is>
      </c>
      <c r="K716" s="33" t="inlineStr">
        <is>
          <t>Pública</t>
        </is>
      </c>
      <c r="L716" s="33" t="inlineStr">
        <is>
          <t>En estaciones HKO se convirtió de grados-minutos-segundos a decimal.</t>
        </is>
      </c>
      <c r="M716" s="33" t="inlineStr">
        <is>
          <t>¿Dónde está ubicado en el mapa?</t>
        </is>
      </c>
    </row>
    <row r="717" ht="15.75" customHeight="1" s="24">
      <c r="A717" s="33" t="inlineStr">
        <is>
          <t>F23</t>
        </is>
      </c>
      <c r="B717" s="33" t="inlineStr">
        <is>
          <t>public/data/infraestructura_paradas.json</t>
        </is>
      </c>
      <c r="C717" s="33" t="inlineStr">
        <is>
          <t>filas[][4] (modos)</t>
        </is>
      </c>
      <c r="D717" s="33" t="inlineStr">
        <is>
          <t>(derivado de co)</t>
        </is>
      </c>
      <c r="E717" s="33" t="inlineStr">
        <is>
          <t>Modos de transporte presentes en la parada, separados por '|'.</t>
        </is>
      </c>
      <c r="F717" s="33" t="inlineStr">
        <is>
          <t>Texto</t>
        </is>
      </c>
      <c r="G717" s="33" t="inlineStr">
        <is>
          <t>—</t>
        </is>
      </c>
      <c r="H717" s="33" t="inlineStr">
        <is>
          <t>bus</t>
        </is>
      </c>
      <c r="I717" s="33" t="inlineStr">
        <is>
          <t>No</t>
        </is>
      </c>
      <c r="J717" s="33" t="inlineStr">
        <is>
          <t>bus; ferry; metro_mtr; minibus; tren_ligero</t>
        </is>
      </c>
      <c r="K717" s="33" t="inlineStr">
        <is>
          <t>Pública</t>
        </is>
      </c>
      <c r="L717" s="33" t="inlineStr">
        <is>
          <t>Operador → modo (kmb/ctb/nlb/lrtfeeder=bus, gmb=minibús, mtr=metro, lightRail=tren ligero, ferris=ferry).</t>
        </is>
      </c>
      <c r="M717" s="33" t="inlineStr">
        <is>
          <t>¿Qué tipo de transporte hay en cada zona?</t>
        </is>
      </c>
    </row>
    <row r="718" ht="15.75" customHeight="1" s="24">
      <c r="A718" s="33" t="inlineStr">
        <is>
          <t>F23</t>
        </is>
      </c>
      <c r="B718" s="33" t="inlineStr">
        <is>
          <t>public/data/infraestructura_paradas.json</t>
        </is>
      </c>
      <c r="C718" s="33" t="inlineStr">
        <is>
          <t>filas[][5] (n_rutas)</t>
        </is>
      </c>
      <c r="D718" s="33" t="inlineStr">
        <is>
          <t>(calculado)</t>
        </is>
      </c>
      <c r="E718" s="33" t="inlineStr">
        <is>
          <t>Número de rutas distintas que pasan por la parada o estación.</t>
        </is>
      </c>
      <c r="F718" s="33" t="inlineStr">
        <is>
          <t>Entero</t>
        </is>
      </c>
      <c r="G718" s="33" t="inlineStr">
        <is>
          <t>rutas</t>
        </is>
      </c>
      <c r="H718" s="33" t="inlineStr">
        <is>
          <t>3</t>
        </is>
      </c>
      <c r="I718" s="33" t="inlineStr">
        <is>
          <t>No</t>
        </is>
      </c>
      <c r="J718" s="33" t="inlineStr">
        <is>
          <t>1 a 66</t>
        </is>
      </c>
      <c r="K718" s="33" t="inlineStr">
        <is>
          <t>Pública</t>
        </is>
      </c>
      <c r="L718" s="33" t="inlineStr">
        <is>
          <t>Conteo de pares operador:ruta que incluyen la parada.</t>
        </is>
      </c>
      <c r="M718" s="33" t="inlineStr">
        <is>
          <t>¿Qué tan bien servida está la parada?</t>
        </is>
      </c>
    </row>
    <row r="719" ht="15.75" customHeight="1" s="24">
      <c r="A719" s="33" t="inlineStr">
        <is>
          <t>F19</t>
        </is>
      </c>
      <c r="B719" s="33" t="inlineStr">
        <is>
          <t>public/data/infraestructura_paradas.json</t>
        </is>
      </c>
      <c r="C719" s="33" t="inlineStr">
        <is>
          <t>filas[][6] (codigo)</t>
        </is>
      </c>
      <c r="D719" s="33" t="inlineStr">
        <is>
          <t>dc_class / 1ª letra de CACODE</t>
        </is>
      </c>
      <c r="E719" s="33" t="inlineStr">
        <is>
          <t>Código de letra del distrito (A–T) usado por el censo y la EAC.</t>
        </is>
      </c>
      <c r="F719" s="33" t="inlineStr">
        <is>
          <t>Texto</t>
        </is>
      </c>
      <c r="G719" s="33" t="inlineStr">
        <is>
          <t>—</t>
        </is>
      </c>
      <c r="H719" s="33" t="inlineStr">
        <is>
          <t>E</t>
        </is>
      </c>
      <c r="I719" s="33" t="inlineStr">
        <is>
          <t>Sí</t>
        </is>
      </c>
      <c r="J719" s="33" t="inlineStr">
        <is>
          <t>18 valores distintos</t>
        </is>
      </c>
      <c r="K719" s="33" t="inlineStr">
        <is>
          <t>Pública</t>
        </is>
      </c>
      <c r="L719" s="33" t="inlineStr">
        <is>
          <t>Derivado de la primera letra del código DCCA; se usa como llave de unión entre todas las tablas.</t>
        </is>
      </c>
      <c r="M719" s="33" t="inlineStr">
        <is>
          <t>¿A qué distrito pertenece este registro?</t>
        </is>
      </c>
    </row>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dataValidations count="3">
    <dataValidation sqref="F5:F719" showDropDown="0" showInputMessage="0" showErrorMessage="0" allowBlank="1" type="list">
      <formula1>"Texto,Entero,Decimal,Fecha,Booleano,Código,Coordenada / geometría"</formula1>
    </dataValidation>
    <dataValidation sqref="I5:I719" showDropDown="0" showInputMessage="0" showErrorMessage="0" allowBlank="1" type="list">
      <formula1>"Sí,No"</formula1>
    </dataValidation>
    <dataValidation sqref="K5:K719" showDropDown="0" showInputMessage="0" showErrorMessage="0" allowBlank="1" type="list">
      <formula1>"Pública,Interna,Sensible,Dato personal"</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45"/>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5" customWidth="1" style="24" min="1" max="1"/>
    <col width="16" customWidth="1" style="24" min="2" max="2"/>
    <col width="46.43" customWidth="1" style="24" min="3" max="3"/>
    <col width="36" customWidth="1" style="24" min="4" max="4"/>
    <col width="30" customWidth="1" style="24" min="5" max="5"/>
    <col width="16" customWidth="1" style="24" min="6" max="6"/>
    <col width="12" customWidth="1" style="24" min="7" max="7"/>
    <col width="30" customWidth="1" style="24" min="8" max="8"/>
    <col width="8.859999999999999" customWidth="1" style="24" min="9" max="26"/>
  </cols>
  <sheetData>
    <row r="1">
      <c r="A1" s="2" t="inlineStr">
        <is>
          <t>3. Bitácora de la búsqueda con IA</t>
        </is>
      </c>
    </row>
    <row r="2">
      <c r="A2" s="6" t="inlineStr">
        <is>
          <t>Qué le encargaron a la IA y qué pasó con lo que respondió. Incluyan los errores: valen tanto como los aciertos.</t>
        </is>
      </c>
    </row>
    <row r="3" ht="42" customHeight="1" s="24">
      <c r="A3" s="8" t="inlineStr">
        <is>
          <t>#</t>
        </is>
      </c>
      <c r="B3" s="8" t="inlineStr">
        <is>
          <t>Herramienta de IA</t>
        </is>
      </c>
      <c r="C3" s="8" t="inlineStr">
        <is>
          <t>Qué le encargaron</t>
        </is>
      </c>
      <c r="D3" s="8" t="inlineStr">
        <is>
          <t>Qué respondió (resumen)</t>
        </is>
      </c>
      <c r="E3" s="8" t="inlineStr">
        <is>
          <t>Cómo lo comprobaron</t>
        </is>
      </c>
      <c r="F3" s="8" t="inlineStr">
        <is>
          <t>Resultado</t>
        </is>
      </c>
      <c r="G3" s="8" t="inlineStr">
        <is>
          <t>ID fuente que salió de ahí</t>
        </is>
      </c>
      <c r="H3" s="8" t="inlineStr">
        <is>
          <t>Qué aprendieron</t>
        </is>
      </c>
    </row>
    <row r="4">
      <c r="A4" s="9" t="n">
        <v>1</v>
      </c>
      <c r="B4" s="34" t="inlineStr">
        <is>
          <t>Claude</t>
        </is>
      </c>
      <c r="C4" s="34" t="inlineStr">
        <is>
          <t>Encontrar la fuente oficial de estimación de población reciente para Hong Kong</t>
        </is>
      </c>
      <c r="D4" s="34" t="inlineStr">
        <is>
          <t>Propuso el Census and Statistics Department (C&amp;SD) y su portal estadístico</t>
        </is>
      </c>
      <c r="E4" s="34" t="inlineStr">
        <is>
          <t>Se ingresó a la URL censtatd.gov.hk/en/scode150.html y se descargó la cifra oficial</t>
        </is>
      </c>
      <c r="F4" s="34" t="inlineStr">
        <is>
          <t>Correcto</t>
        </is>
      </c>
      <c r="G4" s="34" t="inlineStr">
        <is>
          <t>F01</t>
        </is>
      </c>
      <c r="H4" s="34" t="inlineStr">
        <is>
          <t>La IA identificó correctamente la entidad gubernamental encargada de la demografía.</t>
        </is>
      </c>
    </row>
    <row r="5">
      <c r="A5" s="9" t="n">
        <v>2</v>
      </c>
      <c r="B5" s="34" t="inlineStr">
        <is>
          <t>Claude</t>
        </is>
      </c>
      <c r="C5" s="34" t="inlineStr">
        <is>
          <t>Localizar proyecciones oficiales de población a largo plazo (2022–2046)</t>
        </is>
      </c>
      <c r="D5" s="34" t="inlineStr">
        <is>
          <t>Sugirió las publicaciones de proyecciones demográficas del C&amp;SD en DATA.GOV.HK</t>
        </is>
      </c>
      <c r="E5" s="34" t="inlineStr">
        <is>
          <t>Se verificó la disponibilidad de descarga en formato XLSX bajo el código B1120015</t>
        </is>
      </c>
      <c r="F5" s="34" t="inlineStr">
        <is>
          <t>Correcto</t>
        </is>
      </c>
      <c r="G5" s="34" t="inlineStr">
        <is>
          <t>F02</t>
        </is>
      </c>
      <c r="H5" s="34" t="inlineStr">
        <is>
          <t>La IA facilitó la ubicación del dataset estructurado con licencia abierta de reutilización comercial.</t>
        </is>
      </c>
    </row>
    <row r="6">
      <c r="A6" s="9" t="n">
        <v>3</v>
      </c>
      <c r="B6" s="34" t="inlineStr">
        <is>
          <t>Claude</t>
        </is>
      </c>
      <c r="C6" s="34" t="inlineStr">
        <is>
          <t>Buscar estadísticas oficiales sobre el nivel educativo de la población</t>
        </is>
      </c>
      <c r="D6" s="34" t="inlineStr">
        <is>
          <t>Propuso revisar los reportes temáticos del Censo de Población 2021 del C&amp;SD</t>
        </is>
      </c>
      <c r="E6" s="34" t="inlineStr">
        <is>
          <t>Se descargó el documento PDF oficial 21C_Articles_Educational.pdf desde el portal del Censo</t>
        </is>
      </c>
      <c r="F6" s="34" t="inlineStr">
        <is>
          <t>Correcto</t>
        </is>
      </c>
      <c r="G6" s="34" t="inlineStr">
        <is>
          <t>F03</t>
        </is>
      </c>
      <c r="H6" s="34" t="inlineStr">
        <is>
          <t>La IA acertó al referenciar las publicaciones censales oficiales para consultar el porcentaje con educación superior.</t>
        </is>
      </c>
    </row>
    <row r="7">
      <c r="A7" s="9" t="n">
        <v>4</v>
      </c>
      <c r="B7" s="34" t="inlineStr">
        <is>
          <t>Claude</t>
        </is>
      </c>
      <c r="C7" s="34" t="inlineStr">
        <is>
          <t>Buscar tasas actualizadas de natalidad y mortalidad</t>
        </is>
      </c>
      <c r="D7" s="34" t="inlineStr">
        <is>
          <t>Sugirió las estadísticas del Centre for Health Protection (CHP)</t>
        </is>
      </c>
      <c r="E7" s="34" t="inlineStr">
        <is>
          <t>Se ingresó a la página web del CHP y se verificaron los datos para el período 1981–2025</t>
        </is>
      </c>
      <c r="F7" s="34" t="inlineStr">
        <is>
          <t>Correcto</t>
        </is>
      </c>
      <c r="G7" s="34" t="inlineStr">
        <is>
          <t>F04</t>
        </is>
      </c>
      <c r="H7" s="34" t="inlineStr">
        <is>
          <t>La fuente primaria del CHP es más confiable y actualizada que los agregadores secundarios de datos.</t>
        </is>
      </c>
    </row>
    <row r="8">
      <c r="A8" s="9" t="n">
        <v>5</v>
      </c>
      <c r="B8" s="34" t="inlineStr">
        <is>
          <t>Claude</t>
        </is>
      </c>
      <c r="C8" s="34" t="inlineStr">
        <is>
          <t>Localizar indicadores sobre precios de vivienda, alquiler y vacancia</t>
        </is>
      </c>
      <c r="D8" s="34" t="inlineStr">
        <is>
          <t>Propuso las publicaciones del Rating and Valuation Department (RVD)</t>
        </is>
      </c>
      <c r="E8" s="34" t="inlineStr">
        <is>
          <t>Se descargaron los reportes mensuales/anuales en PDF y tablas de estadísticas de mercado</t>
        </is>
      </c>
      <c r="F8" s="34" t="inlineStr">
        <is>
          <t>Correcto</t>
        </is>
      </c>
      <c r="G8" s="34" t="inlineStr">
        <is>
          <t>F05</t>
        </is>
      </c>
      <c r="H8" s="34" t="inlineStr">
        <is>
          <t>El RVD publica datos periódicos oficiales sobre precios por $m^2$ y tasas de desocupación residencial.</t>
        </is>
      </c>
    </row>
    <row r="9">
      <c r="A9" s="9" t="n">
        <v>6</v>
      </c>
      <c r="B9" s="34" t="inlineStr">
        <is>
          <t>Claude</t>
        </is>
      </c>
      <c r="C9" s="34" t="inlineStr">
        <is>
          <t>Buscar datos oficiales sobre tipos de tenencia de vivienda</t>
        </is>
      </c>
      <c r="D9" s="34" t="inlineStr">
        <is>
          <t>Sugirió el informe Housing in Figures de la Housing Authority / Housing Bureau</t>
        </is>
      </c>
      <c r="E9" s="34" t="inlineStr">
        <is>
          <t>Se accedió a hb.gov.hk y se descargó el documento PDF HIF2025.pdf</t>
        </is>
      </c>
      <c r="F9" s="34" t="inlineStr">
        <is>
          <t>Correcto</t>
        </is>
      </c>
      <c r="G9" s="34" t="inlineStr">
        <is>
          <t>F06</t>
        </is>
      </c>
      <c r="H9" s="34" t="inlineStr">
        <is>
          <t>Los reportes sintéticos de la Housing Authority consolidan adecuadamente el porcentaje de vivienda pública y privada.</t>
        </is>
      </c>
    </row>
    <row r="10">
      <c r="A10" s="9" t="n">
        <v>7</v>
      </c>
      <c r="B10" s="34" t="inlineStr">
        <is>
          <t>Claude</t>
        </is>
      </c>
      <c r="C10" s="34" t="inlineStr">
        <is>
          <t>Buscar análisis y proyecciones de oferta de suelo y construcción de vivienda</t>
        </is>
      </c>
      <c r="D10" s="34" t="inlineStr">
        <is>
          <t>Propuso el informe Land and Housing 2025 de Our Hong Kong Foundation</t>
        </is>
      </c>
      <c r="E10" s="34" t="inlineStr">
        <is>
          <t>Se descargó el PDF desde la web de Our Hong Kong Foundation</t>
        </is>
      </c>
      <c r="F10" s="34" t="inlineStr">
        <is>
          <t>Correcto</t>
        </is>
      </c>
      <c r="G10" s="34" t="inlineStr">
        <is>
          <t>F07</t>
        </is>
      </c>
      <c r="H10" s="34" t="inlineStr">
        <is>
          <t>Aunque la IA recomendó la fuente, por ser un think tank privado no es oficial y se deja como candidata de contexto.</t>
        </is>
      </c>
    </row>
    <row r="11">
      <c r="A11" s="9" t="n">
        <v>8</v>
      </c>
      <c r="B11" s="34" t="inlineStr">
        <is>
          <t>Claude</t>
        </is>
      </c>
      <c r="C11" s="34" t="inlineStr">
        <is>
          <t>Encontrar el presupuesto público oficial con ingresos, gastos y reservas</t>
        </is>
      </c>
      <c r="D11" s="34" t="inlineStr">
        <is>
          <t>Propuso la web del Presupuesto del Financial Secretary (budget.gov.hk)</t>
        </is>
      </c>
      <c r="E11" s="34" t="inlineStr">
        <is>
          <t>Se navegó a la publicación web del presupuesto 2026-27</t>
        </is>
      </c>
      <c r="F11" s="34" t="inlineStr">
        <is>
          <t>Correcto</t>
        </is>
      </c>
      <c r="G11" s="34" t="inlineStr">
        <is>
          <t>F08</t>
        </is>
      </c>
      <c r="H11" s="34" t="inlineStr">
        <is>
          <t>Los datos presupuestarios oficiales se encuentran consolidados en los portales anuales de hacienda/finanzas.</t>
        </is>
      </c>
    </row>
    <row r="12">
      <c r="A12" s="9" t="n">
        <v>9</v>
      </c>
      <c r="B12" s="34" t="inlineStr">
        <is>
          <t>Claude</t>
        </is>
      </c>
      <c r="C12" s="34" t="inlineStr">
        <is>
          <t>Buscar el aporte al PIB y empleo de los principales sectores económicos</t>
        </is>
      </c>
      <c r="D12" s="34" t="inlineStr">
        <is>
          <t>Indicó la publicación The Four Key Industries in the Hong Kong Economy del C&amp;SD</t>
        </is>
      </c>
      <c r="E12" s="34" t="inlineStr">
        <is>
          <t>Se descargó el archivo XLSX desde el portal oficial del C&amp;SD (scode80.html)</t>
        </is>
      </c>
      <c r="F12" s="34" t="inlineStr">
        <is>
          <t>Correcto</t>
        </is>
      </c>
      <c r="G12" s="34" t="inlineStr">
        <is>
          <t>F09</t>
        </is>
      </c>
      <c r="H12" s="34" t="inlineStr">
        <is>
          <t>Los datasets temáticos del C&amp;SD vienen en formatos reutilizables (XLSX) con desglose sectorial.</t>
        </is>
      </c>
    </row>
    <row r="13">
      <c r="A13" s="9" t="n">
        <v>10</v>
      </c>
      <c r="B13" s="34" t="inlineStr">
        <is>
          <t>Claude</t>
        </is>
      </c>
      <c r="C13" s="34" t="inlineStr">
        <is>
          <t>Localizar estadísticas de criminalidad y seguridad pública</t>
        </is>
      </c>
      <c r="D13" s="34" t="inlineStr">
        <is>
          <t>Propuso el portal de estadísticas de la Hong Kong Police Force (HKPF)</t>
        </is>
      </c>
      <c r="E13" s="34" t="inlineStr">
        <is>
          <t>Se verificó en la web de la policía los reportes de delitos de 2025</t>
        </is>
      </c>
      <c r="F13" s="34" t="inlineStr">
        <is>
          <t>Correcto</t>
        </is>
      </c>
      <c r="G13" s="34" t="inlineStr">
        <is>
          <t>F10</t>
        </is>
      </c>
      <c r="H13" s="34" t="inlineStr">
        <is>
          <t>Las cifras policiales oficiales permiten analizar categorías delictivas como fraudes y delitos graves.</t>
        </is>
      </c>
    </row>
    <row r="14">
      <c r="A14" s="9" t="n">
        <v>11</v>
      </c>
      <c r="B14" s="34" t="inlineStr">
        <is>
          <t>Claude</t>
        </is>
      </c>
      <c r="C14" s="34" t="inlineStr">
        <is>
          <t>Encontrar indicadores sobre percepción de corrupción</t>
        </is>
      </c>
      <c r="D14" s="34" t="inlineStr">
        <is>
          <t>Sugirió el Corruption Perceptions Index en la web del ICAC / Transparency Int.</t>
        </is>
      </c>
      <c r="E14" s="34" t="inlineStr">
        <is>
          <t>Se consultó la publicación en la web del ICAC que remite a Transparency International</t>
        </is>
      </c>
      <c r="F14" s="34" t="inlineStr">
        <is>
          <t>Correcto</t>
        </is>
      </c>
      <c r="G14" s="34" t="inlineStr">
        <is>
          <t>F11</t>
        </is>
      </c>
      <c r="H14" s="34" t="inlineStr">
        <is>
          <t>El ICAC difunde el índice, pero la fuente primaria emisora de la metodología es Transparency International.</t>
        </is>
      </c>
    </row>
    <row r="15">
      <c r="A15" s="9" t="n">
        <v>12</v>
      </c>
      <c r="B15" s="34" t="inlineStr">
        <is>
          <t>Claude</t>
        </is>
      </c>
      <c r="C15" s="34" t="inlineStr">
        <is>
          <t>Obtener estadísticas de turismo y llegada de visitantes</t>
        </is>
      </c>
      <c r="D15" s="34" t="inlineStr">
        <is>
          <t>Indicó las hojas informativas Hong Kong: The Facts – Tourism de gov.hk</t>
        </is>
      </c>
      <c r="E15" s="34" t="inlineStr">
        <is>
          <t>Se descargó el documento PDF en el portal oficial del gobierno</t>
        </is>
      </c>
      <c r="F15" s="34" t="inlineStr">
        <is>
          <t>Correcto</t>
        </is>
      </c>
      <c r="G15" s="34" t="inlineStr">
        <is>
          <t>F12</t>
        </is>
      </c>
      <c r="H15" s="34" t="inlineStr">
        <is>
          <t>Las fichas The Facts sintetizan indicadores clave de turismo de forma oficial y actualizada.</t>
        </is>
      </c>
    </row>
    <row r="16">
      <c r="A16" s="9" t="n">
        <v>13</v>
      </c>
      <c r="B16" s="34" t="inlineStr">
        <is>
          <t>Claude</t>
        </is>
      </c>
      <c r="C16" s="34" t="inlineStr">
        <is>
          <t>Buscar información sobre áreas protegidas y parque del suelo</t>
        </is>
      </c>
      <c r="D16" s="34" t="inlineStr">
        <is>
          <t>Propuso los datos del Agriculture, Fisheries and Conservation Dept. (AFCD)</t>
        </is>
      </c>
      <c r="E16" s="34" t="inlineStr">
        <is>
          <t>Se verificó la web del AFCD con las hectáreas de country parks y áreas especiales</t>
        </is>
      </c>
      <c r="F16" s="34" t="inlineStr">
        <is>
          <t>Correcto</t>
        </is>
      </c>
      <c r="G16" s="34" t="inlineStr">
        <is>
          <t>F13</t>
        </is>
      </c>
      <c r="H16" s="34" t="inlineStr">
        <is>
          <t>El departamento ambiental del gobierno mantiene registros exactos del suelo destinado a parques naturales.</t>
        </is>
      </c>
    </row>
    <row r="17">
      <c r="A17" s="9" t="n">
        <v>14</v>
      </c>
      <c r="B17" s="34" t="inlineStr">
        <is>
          <t>Claude</t>
        </is>
      </c>
      <c r="C17" s="34" t="inlineStr">
        <is>
          <t>Localizar datos sobre el origen y volumen del suministro de agua</t>
        </is>
      </c>
      <c r="D17" s="34" t="inlineStr">
        <is>
          <t>Indicó la publicación The Facts – Water Supplies del Water Supplies Department</t>
        </is>
      </c>
      <c r="E17" s="34" t="inlineStr">
        <is>
          <t>Se descargó la ficha PDF oficial del WSD</t>
        </is>
      </c>
      <c r="F17" s="34" t="inlineStr">
        <is>
          <t>Correcto</t>
        </is>
      </c>
      <c r="G17" s="34" t="inlineStr">
        <is>
          <t>F14</t>
        </is>
      </c>
      <c r="H17" s="34" t="inlineStr">
        <is>
          <t>La ficha oficial confirma la dependencia del suministro de agua del río Dongjiang en un 70-80%.</t>
        </is>
      </c>
    </row>
    <row r="18">
      <c r="A18" s="9" t="n">
        <v>15</v>
      </c>
      <c r="B18" s="34" t="inlineStr">
        <is>
          <t>Claude</t>
        </is>
      </c>
      <c r="C18" s="34" t="inlineStr">
        <is>
          <t>Encontrar evaluación sobre la biodiversidad local y conservación</t>
        </is>
      </c>
      <c r="D18" s="34" t="inlineStr">
        <is>
          <t>Sugirió el reporte State of Hong Kong Biodiversity de WWF-Hong Kong</t>
        </is>
      </c>
      <c r="E18" s="34" t="inlineStr">
        <is>
          <t>Se revisó el sitio web de WWF-Hong Kong</t>
        </is>
      </c>
      <c r="F18" s="34" t="inlineStr">
        <is>
          <t>Correcto</t>
        </is>
      </c>
      <c r="G18" s="34" t="inlineStr">
        <is>
          <t>F15</t>
        </is>
      </c>
      <c r="H18" s="34" t="inlineStr">
        <is>
          <t>Al no ser una fuente gubernamental abierta, los datos de biodiversidad requieren verificar derechos de autor.</t>
        </is>
      </c>
    </row>
    <row r="19">
      <c r="A19" s="9" t="n">
        <v>16</v>
      </c>
      <c r="B19" s="34" t="inlineStr">
        <is>
          <t>Claude</t>
        </is>
      </c>
      <c r="C19" s="34" t="inlineStr">
        <is>
          <t>Buscar datos de pobreza por distrito</t>
        </is>
      </c>
      <c r="D19" s="34" t="inlineStr">
        <is>
          <t>Sugirió el portal Social Indicators of Hong Kong</t>
        </is>
      </c>
      <c r="E19" s="34" t="inlineStr">
        <is>
          <t>Se revisó la página web con las estadísticas por distrito</t>
        </is>
      </c>
      <c r="F19" s="34" t="inlineStr">
        <is>
          <t>Parcial</t>
        </is>
      </c>
      <c r="G19" s="34" t="inlineStr">
        <is>
          <t>F16</t>
        </is>
      </c>
      <c r="H19" s="34" t="inlineStr">
        <is>
          <t>Los agregadores presentan mezclas de períodos (2021-2026); es preferible validar contra fuentes primarias del C&amp;SD.</t>
        </is>
      </c>
    </row>
    <row r="20" ht="15.75" customHeight="1" s="24">
      <c r="A20" s="9" t="n">
        <v>17</v>
      </c>
      <c r="B20" s="34" t="inlineStr">
        <is>
          <t>Claude</t>
        </is>
      </c>
      <c r="C20" s="34" t="inlineStr">
        <is>
          <t>Buscar la serie histórica de tasa global de fecundidad (TFR)</t>
        </is>
      </c>
      <c r="D20" s="34" t="inlineStr">
        <is>
          <t>Sugirió la plataforma Macrotrends</t>
        </is>
      </c>
      <c r="E20" s="34" t="inlineStr">
        <is>
          <t>Se revisó la web y sus proyecciones de tasa de fecundidad</t>
        </is>
      </c>
      <c r="F20" s="34" t="inlineStr">
        <is>
          <t>Inventado</t>
        </is>
      </c>
      <c r="G20" s="34" t="inlineStr">
        <is>
          <t>F17</t>
        </is>
      </c>
      <c r="H20" s="34" t="inlineStr">
        <is>
          <t>La IA propuso un agregador privado cuyas cifras (~1,44) contradicen la tasa bruta de natalidad oficial (&lt;1). Se descartó.</t>
        </is>
      </c>
    </row>
    <row r="21" ht="15.75" customHeight="1" s="24">
      <c r="A21" s="9" t="n">
        <v>18</v>
      </c>
      <c r="B21" s="34" t="inlineStr">
        <is>
          <t>Claude</t>
        </is>
      </c>
      <c r="C21" s="34" t="inlineStr">
        <is>
          <t>Localizar tablas de esperanza de vida desglosadas por distrito</t>
        </is>
      </c>
      <c r="D21" s="34" t="inlineStr">
        <is>
          <t>Indicó un estudio académico publicado en el IPC / Popconf</t>
        </is>
      </c>
      <c r="E21" s="34" t="inlineStr">
        <is>
          <t>Se descargó el documento PDF de la conferencia</t>
        </is>
      </c>
      <c r="F21" s="34" t="inlineStr">
        <is>
          <t>Parcial</t>
        </is>
      </c>
      <c r="G21" s="34" t="inlineStr">
        <is>
          <t>F18</t>
        </is>
      </c>
      <c r="H21" s="34" t="inlineStr">
        <is>
          <t>La IA halló el único desglose abierto por distrito, pero la información corresponde al año 2016 (obsoleta).</t>
        </is>
      </c>
    </row>
    <row r="22" ht="15.75" customHeight="1" s="24">
      <c r="A22" s="9" t="n">
        <v>19</v>
      </c>
      <c r="B22" s="34" t="inlineStr">
        <is>
          <t>Claude (Anthropic)</t>
        </is>
      </c>
      <c r="C22" s="34" t="inlineStr">
        <is>
          <t>Leer la página de referencia Cerebro Lima para copiar su estructura</t>
        </is>
      </c>
      <c r="D22" s="34" t="inlineStr">
        <is>
          <t>No pudo abrirla: pide clave y bloquea acceso automatizado. Armó las pestañas a partir de los nombres de archivo que le dimos.</t>
        </is>
      </c>
      <c r="E22" s="34" t="inlineStr">
        <is>
          <t>Más tarde un integrante escribió la clave en el navegador y se revisó la página real: las pestañas coincidían, pero el diseño se había supuesto.</t>
        </is>
      </c>
      <c r="F22" s="34" t="inlineStr">
        <is>
          <t>Parcial</t>
        </is>
      </c>
      <c r="G22" s="34" t="inlineStr">
        <is>
          <t>F45</t>
        </is>
      </c>
      <c r="H22" s="34" t="inlineStr">
        <is>
          <t>Lo que la IA no puede abrir lo reconstruye por inferencia; hay que verificarlo con la fuente real.</t>
        </is>
      </c>
    </row>
    <row r="23" ht="15.75" customHeight="1" s="24">
      <c r="A23" s="9" t="n">
        <v>20</v>
      </c>
      <c r="B23" s="34" t="inlineStr">
        <is>
          <t>Claude (Anthropic)</t>
        </is>
      </c>
      <c r="C23" s="34" t="inlineStr">
        <is>
          <t>Conseguir los límites de los 18 distritos</t>
        </is>
      </c>
      <c r="D23" s="34" t="inlineStr">
        <is>
          <t>Propuso geoBoundaries y la colección de mapas de Highcharts.</t>
        </is>
      </c>
      <c r="E23" s="34" t="inlineStr">
        <is>
          <t>geoBoundaries dio 404 y la ruta de Highcharts no existe.</t>
        </is>
      </c>
      <c r="F23" s="34" t="inlineStr">
        <is>
          <t>Inventado</t>
        </is>
      </c>
      <c r="G23" s="34" t="inlineStr">
        <is>
          <t>F37, F38</t>
        </is>
      </c>
      <c r="H23" s="34" t="inlineStr">
        <is>
          <t>Una URL plausible no es una URL que exista: se prueba antes de anotarla.</t>
        </is>
      </c>
    </row>
    <row r="24" ht="15.75" customHeight="1" s="24">
      <c r="A24" s="9" t="n">
        <v>21</v>
      </c>
      <c r="B24" s="34" t="inlineStr">
        <is>
          <t>Claude (Anthropic)</t>
        </is>
      </c>
      <c r="C24" s="34" t="inlineStr">
        <is>
          <t>Mismo encargo: límites de distritos</t>
        </is>
      </c>
      <c r="D24" s="34" t="inlineStr">
        <is>
          <t>Encontró el GeoJSON de circunscripciones DCCA 2019 de la EAC (espejo en GitHub).</t>
        </is>
      </c>
      <c r="E24" s="34" t="inlineStr">
        <is>
          <t>Contamos 452 circunscripciones y 18 distritos; el espejo no tiene archivo LICENSE y los polígonos incluyen mar.</t>
        </is>
      </c>
      <c r="F24" s="34" t="inlineStr">
        <is>
          <t>Correcto</t>
        </is>
      </c>
      <c r="G24" s="34" t="inlineStr">
        <is>
          <t>F19</t>
        </is>
      </c>
      <c r="H24" s="34" t="inlineStr">
        <is>
          <t>El dato sirve, pero la licencia del espejo no está declarada: queda anotado como «no declara».</t>
        </is>
      </c>
    </row>
    <row r="25" ht="15.75" customHeight="1" s="24">
      <c r="A25" s="9" t="n">
        <v>22</v>
      </c>
      <c r="B25" s="34" t="inlineStr">
        <is>
          <t>Claude (Anthropic)</t>
        </is>
      </c>
      <c r="C25" s="34" t="inlineStr">
        <is>
          <t>Traer el Censo 2021 por distrito</t>
        </is>
      </c>
      <c r="D25" s="34" t="inlineStr">
        <is>
          <t>Primero el XLSX/ZIP oficial (no lo pudo leer), luego el servicio WFS del portal CSDI.</t>
        </is>
      </c>
      <c r="E25" s="34" t="inlineStr">
        <is>
          <t>Sumamos grupos de edad y tipos de vivienda: igualan la población total en los 18 distritos.</t>
        </is>
      </c>
      <c r="F25" s="34" t="inlineStr">
        <is>
          <t>Correcto</t>
        </is>
      </c>
      <c r="G25" s="34" t="inlineStr">
        <is>
          <t>F20, F35, F36</t>
        </is>
      </c>
      <c r="H25" s="34" t="inlineStr">
        <is>
          <t>El primer camino falló; el bueno salió de la ficha de DATA.GOV.HK.</t>
        </is>
      </c>
    </row>
    <row r="26" ht="15.75" customHeight="1" s="24">
      <c r="A26" s="9" t="n">
        <v>23</v>
      </c>
      <c r="B26" s="34" t="inlineStr">
        <is>
          <t>Claude (Anthropic)</t>
        </is>
      </c>
      <c r="C26" s="34" t="inlineStr">
        <is>
          <t>Serie anual de ingreso y población por distrito</t>
        </is>
      </c>
      <c r="D26" s="34" t="inlineStr">
        <is>
          <t>Usó la Encuesta General de Hogares 2016–2025 vía CSDI.</t>
        </is>
      </c>
      <c r="E26" s="34" t="inlineStr">
        <is>
          <t>La población 2021 de la serie coincide con el censo; la edad mediana viene redondeada.</t>
        </is>
      </c>
      <c r="F26" s="34" t="inlineStr">
        <is>
          <t>Correcto</t>
        </is>
      </c>
      <c r="G26" s="34" t="inlineStr">
        <is>
          <t>F21</t>
        </is>
      </c>
      <c r="H26" s="34" t="inlineStr"/>
    </row>
    <row r="27" ht="15.75" customHeight="1" s="24">
      <c r="A27" s="9" t="n">
        <v>24</v>
      </c>
      <c r="B27" s="34" t="inlineStr">
        <is>
          <t>Claude (Anthropic)</t>
        </is>
      </c>
      <c r="C27" s="34" t="inlineStr">
        <is>
          <t>Red de transporte público con coordenadas</t>
        </is>
      </c>
      <c r="D27" s="34" t="inlineStr">
        <is>
          <t>Encontró la compilación hk-bus-crawling (15.285 paradas).</t>
        </is>
      </c>
      <c r="E27" s="34" t="inlineStr">
        <is>
          <t>Licencia GPL-2.0 revisada; paradas dentro del territorio.</t>
        </is>
      </c>
      <c r="F27" s="34" t="inlineStr">
        <is>
          <t>Correcto</t>
        </is>
      </c>
      <c r="G27" s="34" t="inlineStr">
        <is>
          <t>F23</t>
        </is>
      </c>
      <c r="H27" s="34" t="inlineStr">
        <is>
          <t>Es una compilación de un tercero, no el dato oficial de cada operador.</t>
        </is>
      </c>
    </row>
    <row r="28" ht="15.75" customHeight="1" s="24">
      <c r="A28" s="9" t="n">
        <v>25</v>
      </c>
      <c r="B28" s="34" t="inlineStr">
        <is>
          <t>Claude (Anthropic)</t>
        </is>
      </c>
      <c r="C28" s="34" t="inlineStr">
        <is>
          <t>Hospitales con urgencias</t>
        </is>
      </c>
      <c r="D28" s="34" t="inlineStr">
        <is>
          <t>Tomó nombres y coordenadas de un paquete npm (ane-hk).</t>
        </is>
      </c>
      <c r="E28" s="34" t="inlineStr">
        <is>
          <t>Son los 18 hospitales A&amp;E, pero no contrastamos coordenadas con fuente oficial y falta el hospital nuevo de Kai Tak.</t>
        </is>
      </c>
      <c r="F28" s="34" t="inlineStr">
        <is>
          <t>Parcial</t>
        </is>
      </c>
      <c r="G28" s="34" t="inlineStr">
        <is>
          <t>F24</t>
        </is>
      </c>
      <c r="H28" s="34" t="inlineStr"/>
    </row>
    <row r="29" ht="15.75" customHeight="1" s="24">
      <c r="A29" s="9" t="n">
        <v>26</v>
      </c>
      <c r="B29" s="34" t="inlineStr">
        <is>
          <t>Claude (Anthropic)</t>
        </is>
      </c>
      <c r="C29" s="34" t="inlineStr">
        <is>
          <t>Estaciones meteorológicas con coordenadas</t>
        </is>
      </c>
      <c r="D29" s="34" t="inlineStr">
        <is>
          <t>Leyó la tabla del Observatorio (86 estaciones).</t>
        </is>
      </c>
      <c r="E29" s="34" t="inlineStr">
        <is>
          <t>Cruce con la capa CSDI: 24 de 26 a menos de 1 m.</t>
        </is>
      </c>
      <c r="F29" s="34" t="inlineStr">
        <is>
          <t>Correcto</t>
        </is>
      </c>
      <c r="G29" s="34" t="inlineStr">
        <is>
          <t>F25, F26</t>
        </is>
      </c>
      <c r="H29" s="34" t="inlineStr"/>
    </row>
    <row r="30" ht="15.75" customHeight="1" s="24">
      <c r="A30" s="9" t="n">
        <v>27</v>
      </c>
      <c r="B30" s="34" t="inlineStr">
        <is>
          <t>Claude (Anthropic)</t>
        </is>
      </c>
      <c r="C30" s="34" t="inlineStr">
        <is>
          <t>Calidad del aire actual</t>
        </is>
      </c>
      <c r="D30" s="34" t="inlineStr">
        <is>
          <t>Leyó el RSS del AQHI de 18 estaciones.</t>
        </is>
      </c>
      <c r="E30" s="34" t="inlineStr">
        <is>
          <t>La hora publicada parecía de casi un día antes; es una captura puntual, no una serie.</t>
        </is>
      </c>
      <c r="F30" s="34" t="inlineStr">
        <is>
          <t>Parcial</t>
        </is>
      </c>
      <c r="G30" s="34" t="inlineStr">
        <is>
          <t>F27</t>
        </is>
      </c>
      <c r="H30" s="34" t="inlineStr">
        <is>
          <t>Una captura no es un sensor: la página la rotula con su fecha.</t>
        </is>
      </c>
    </row>
    <row r="31" ht="15.75" customHeight="1" s="24">
      <c r="A31" s="9" t="n">
        <v>28</v>
      </c>
      <c r="B31" s="34" t="inlineStr">
        <is>
          <t>Claude (Anthropic)</t>
        </is>
      </c>
      <c r="C31" s="34" t="inlineStr">
        <is>
          <t>Indicadores macro (PIB per cápita, inflación)</t>
        </is>
      </c>
      <c r="D31" s="34" t="inlineStr">
        <is>
          <t>La API del Banco Mundial no respondió; tomó las mismas series de FRED.</t>
        </is>
      </c>
      <c r="E31" s="34" t="inlineStr">
        <is>
          <t>La página de FRED dice «2010 U.S. Dollars» pero los valores parecen base 2015: la discrepancia no se resolvió.</t>
        </is>
      </c>
      <c r="F31" s="34" t="inlineStr">
        <is>
          <t>Parcial</t>
        </is>
      </c>
      <c r="G31" s="34" t="inlineStr">
        <is>
          <t>F28, F29, F30, F43</t>
        </is>
      </c>
      <c r="H31" s="34" t="inlineStr"/>
    </row>
    <row r="32" ht="15.75" customHeight="1" s="24">
      <c r="A32" s="9" t="n">
        <v>29</v>
      </c>
      <c r="B32" s="34" t="inlineStr">
        <is>
          <t>Claude (Anthropic)</t>
        </is>
      </c>
      <c r="C32" s="34" t="inlineStr">
        <is>
          <t>Delitos y seguridad</t>
        </is>
      </c>
      <c r="D32" s="34" t="inlineStr">
        <is>
          <t>Trajo el CSV mensual de la Policía y el informe Police in Figures.</t>
        </is>
      </c>
      <c r="E32" s="34" t="inlineStr">
        <is>
          <t>La suma mensual 2024 (94.948) no cuadra con el anual (94.747).</t>
        </is>
      </c>
      <c r="F32" s="34" t="inlineStr">
        <is>
          <t>Parcial</t>
        </is>
      </c>
      <c r="G32" s="34" t="inlineStr">
        <is>
          <t>F31, F10</t>
        </is>
      </c>
      <c r="H32" s="34" t="inlineStr"/>
    </row>
    <row r="33" ht="15.75" customHeight="1" s="24">
      <c r="A33" s="9" t="n">
        <v>30</v>
      </c>
      <c r="B33" s="34" t="inlineStr">
        <is>
          <t>Claude (Anthropic)</t>
        </is>
      </c>
      <c r="C33" s="34" t="inlineStr">
        <is>
          <t>Escucha: qué se dice de Hong Kong</t>
        </is>
      </c>
      <c r="D33" s="34" t="inlineStr">
        <is>
          <t>Hizo 8 búsquedas por tema, guardó 32 titulares y les calculó un tono por léxico.</t>
        </is>
      </c>
      <c r="E33" s="34" t="inlineStr">
        <is>
          <t>Leímos los titulares: el tono heurístico se equivoca en frases como «needs more…».</t>
        </is>
      </c>
      <c r="F33" s="34" t="inlineStr">
        <is>
          <t>Parcial</t>
        </is>
      </c>
      <c r="G33" s="34" t="inlineStr">
        <is>
          <t>F32, F33</t>
        </is>
      </c>
      <c r="H33" s="34" t="inlineStr">
        <is>
          <t>El tono es indicativo, no un modelo validado.</t>
        </is>
      </c>
    </row>
    <row r="34" ht="15.75" customHeight="1" s="24">
      <c r="A34" s="9" t="n">
        <v>31</v>
      </c>
      <c r="B34" s="34" t="inlineStr">
        <is>
          <t>Claude (Anthropic)</t>
        </is>
      </c>
      <c r="C34" s="34" t="inlineStr">
        <is>
          <t>Comparar el lago con la wiki del grupo</t>
        </is>
      </c>
      <c r="D34" s="34" t="inlineStr">
        <is>
          <t>Hizo una tabla de cifras coincidentes y de cobertura por tema.</t>
        </is>
      </c>
      <c r="E34" s="34" t="inlineStr">
        <is>
          <t>Recalculamos delitos 2025 y población; coinciden.</t>
        </is>
      </c>
      <c r="F34" s="34" t="inlineStr">
        <is>
          <t>Correcto</t>
        </is>
      </c>
      <c r="G34" s="34" t="inlineStr">
        <is>
          <t>F20, F31, F10</t>
        </is>
      </c>
      <c r="H34" s="34" t="inlineStr"/>
    </row>
    <row r="35" ht="15.75" customHeight="1" s="24">
      <c r="A35" s="9" t="n">
        <v>32</v>
      </c>
      <c r="B35" s="34" t="inlineStr">
        <is>
          <t>Claude (Anthropic)</t>
        </is>
      </c>
      <c r="C35" s="34" t="inlineStr">
        <is>
          <t>Llenar el diccionario del Excel con los campos de la wiki</t>
        </is>
      </c>
      <c r="D35" s="34" t="inlineStr">
        <is>
          <t>Generó 120 filas que apuntaban a archivos lago/poblacion.json, lago/vivienda.json… y copió las cifras a mano desde la wiki.</t>
        </is>
      </c>
      <c r="E35" s="34" t="inlineStr">
        <is>
          <t>El profesor notó que esos archivos no existen en el repo y que varias cifras no coinciden con las del lago (p. ej. 65+: 20,5 % en la wiki vs. 19,6 % en el censo).</t>
        </is>
      </c>
      <c r="F35" s="34" t="inlineStr">
        <is>
          <t>Incorrecto</t>
        </is>
      </c>
      <c r="G35" s="34" t="inlineStr">
        <is>
          <t>F01, F02, F06</t>
        </is>
      </c>
      <c r="H35" s="34" t="inlineStr">
        <is>
          <t>El diccionario ahora se genera solo, leyendo los archivos reales de public/data (pipeline/diccionario_web.py). Las diferencias quedaron explicadas en public/data/conciliacion.json.</t>
        </is>
      </c>
    </row>
    <row r="36" ht="15.75" customHeight="1" s="24">
      <c r="A36" s="9" t="n">
        <v>33</v>
      </c>
      <c r="B36" s="34" t="inlineStr">
        <is>
          <t>Claude (Anthropic)</t>
        </is>
      </c>
      <c r="C36" s="34" t="inlineStr">
        <is>
          <t>Unificar los dos catálogos de fuentes</t>
        </is>
      </c>
      <c r="D36" s="34" t="inlineStr">
        <is>
          <t>Al principio dejó dos numeraciones que chocaban (F01–F18 del grupo y F01–F28 del pipeline).</t>
        </is>
      </c>
      <c r="E36" s="34" t="inlineStr">
        <is>
          <t>Se veía la misma etiqueta «F01» para dos fuentes distintas en la web y en el Excel.</t>
        </is>
      </c>
      <c r="F36" s="34" t="inlineStr">
        <is>
          <t>Parcial</t>
        </is>
      </c>
      <c r="G36" s="34" t="inlineStr">
        <is>
          <t>F01–F45</t>
        </is>
      </c>
      <c r="H36" s="34" t="inlineStr">
        <is>
          <t>Ahora hay un único catálogo F01–F45 (pipeline/catalogo_unico.py) y cada gráfico de la página muestra el archivo y el campo que lee.</t>
        </is>
      </c>
    </row>
    <row r="37" ht="15.75" customHeight="1" s="24">
      <c r="A37" s="9" t="n">
        <v>34</v>
      </c>
      <c r="B37" s="34" t="inlineStr">
        <is>
          <t>Claude (Anthropic)</t>
        </is>
      </c>
      <c r="C37" s="34" t="inlineStr">
        <is>
          <t>Escribir la licencia de cada fuente</t>
        </is>
      </c>
      <c r="D37" s="34" t="inlineStr">
        <is>
          <t>En la primera versión parafraseó licencias en español («reutilización comercial y no comercial con atribución») y puso «CC BY-SA 4.0» a Wikipedia de memoria.</t>
        </is>
      </c>
      <c r="E37" s="34" t="inlineStr">
        <is>
          <t>Se abrieron las páginas de términos: 23 de 45 licencias se copiaron literalmente en inglés; las páginas que la herramienta no pudo abrir quedan como «not verified», sin inventar texto.</t>
        </is>
      </c>
      <c r="F37" s="34" t="inlineStr">
        <is>
          <t>Parcial</t>
        </is>
      </c>
      <c r="G37" s="34" t="inlineStr">
        <is>
          <t>F01–F45</t>
        </is>
      </c>
      <c r="H37" s="34" t="inlineStr">
        <is>
          <t>Una licencia resumida no es la licencia. Las «not verified» hay que copiarlas a mano desde el navegador.</t>
        </is>
      </c>
    </row>
    <row r="38" ht="15.75" customHeight="1" s="24">
      <c r="A38" s="9" t="n">
        <v>35</v>
      </c>
      <c r="B38" s="34" t="inlineStr">
        <is>
          <t>Claude (Anthropic)</t>
        </is>
      </c>
      <c r="C38" s="34" t="inlineStr">
        <is>
          <t>Revisar si la Policía permite reutilizar sus cifras</t>
        </is>
      </c>
      <c r="D38" s="34" t="inlineStr">
        <is>
          <t>Había tratado los datos de la Policía como datos abiertos de DATA.GOV.HK.</t>
        </is>
      </c>
      <c r="E38" s="34" t="inlineStr">
        <is>
          <t>El aviso de police.gov.hk dice que la reproducción requiere autorización escrita; solo el CSV publicado en DATA.GOV.HK (F31) tiene la licencia abierta.</t>
        </is>
      </c>
      <c r="F38" s="34" t="inlineStr">
        <is>
          <t>Incorrecto</t>
        </is>
      </c>
      <c r="G38" s="34" t="inlineStr">
        <is>
          <t>F10, F31</t>
        </is>
      </c>
      <c r="H38" s="34" t="inlineStr">
        <is>
          <t>F10 queda marcada con licencia restrictiva en el catálogo y en la página.</t>
        </is>
      </c>
    </row>
    <row r="39" ht="15.75" customHeight="1" s="24">
      <c r="A39" s="9" t="n">
        <v>36</v>
      </c>
      <c r="B39" s="34" t="inlineStr">
        <is>
          <t>Claude (Anthropic)</t>
        </is>
      </c>
      <c r="C39" s="34" t="inlineStr">
        <is>
          <t>Mostrar el desempleo en la página</t>
        </is>
      </c>
      <c r="D39" s="34" t="inlineStr">
        <is>
          <t>Usó una cifra de desempleo tomada de Moody's (tradingeconomics/economy.com).</t>
        </is>
      </c>
      <c r="E39" s="34" t="inlineStr">
        <is>
          <t>Los términos de Moody's restringen la reutilización.</t>
        </is>
      </c>
      <c r="F39" s="34" t="inlineStr">
        <is>
          <t>Incorrecto</t>
        </is>
      </c>
      <c r="G39" s="34" t="inlineStr">
        <is>
          <t>F34</t>
        </is>
      </c>
      <c r="H39" s="34" t="inlineStr">
        <is>
          <t>Se quitó de la página y del lago publicado; el desempleo oficial del C&amp;SD queda como pendiente.</t>
        </is>
      </c>
    </row>
    <row r="40" ht="15.75" customHeight="1" s="24">
      <c r="A40" s="9" t="n">
        <v>37</v>
      </c>
      <c r="B40" s="34" t="inlineStr">
        <is>
          <t>Claude (Anthropic)</t>
        </is>
      </c>
      <c r="C40" s="34" t="inlineStr">
        <is>
          <t>Mostrar el clima en la cabecera de la página</t>
        </is>
      </c>
      <c r="D40" s="34" t="inlineStr">
        <is>
          <t>Puso una consulta en vivo a la API del Observatorio desde el navegador.</t>
        </is>
      </c>
      <c r="E40" s="34" t="inlineStr">
        <is>
          <t>Eso rompe la regla de que todo lo que se ve sale de un archivo del repo con su fila en el diccionario.</t>
        </is>
      </c>
      <c r="F40" s="34" t="inlineStr">
        <is>
          <t>Parcial</t>
        </is>
      </c>
      <c r="G40" s="34" t="inlineStr">
        <is>
          <t>F25, F27</t>
        </is>
      </c>
      <c r="H40" s="34" t="inlineStr">
        <is>
          <t>Ahora la cabecera muestra el AQHI de la captura guardada (sensores.json) con su fecha.</t>
        </is>
      </c>
    </row>
    <row r="41" ht="15.75" customHeight="1" s="24">
      <c r="A41" s="9" t="n">
        <v>38</v>
      </c>
      <c r="B41" s="34" t="inlineStr">
        <is>
          <t>Claude (Anthropic)</t>
        </is>
      </c>
      <c r="C41" s="34" t="inlineStr">
        <is>
          <t>Construir el mapa de la página</t>
        </is>
      </c>
      <c r="D41" s="34" t="inlineStr">
        <is>
          <t>La primera versión usó el mismo id «mapa» para la sección y el lienzo: MapLibre se montó sobre toda la sección.</t>
        </is>
      </c>
      <c r="E41" s="34" t="inlineStr">
        <is>
          <t>Se vio en las capturas de prueba; además las etiquetas de distritos pequeños se encimaban.</t>
        </is>
      </c>
      <c r="F41" s="34" t="inlineStr">
        <is>
          <t>Incorrecto</t>
        </is>
      </c>
      <c r="G41" s="34" t="inlineStr">
        <is>
          <t>F19, F22</t>
        </is>
      </c>
      <c r="H41" s="34" t="inlineStr">
        <is>
          <t>Se corrigió el id y se ocultan etiquetas de distritos chicos a poco zoom. Hay que mirar las capturas, no solo que no haya errores.</t>
        </is>
      </c>
    </row>
    <row r="42" ht="15.75" customHeight="1" s="24">
      <c r="A42" s="9" t="n">
        <v>39</v>
      </c>
      <c r="B42" s="34" t="inlineStr">
        <is>
          <t>Claude (Anthropic)</t>
        </is>
      </c>
      <c r="C42" s="34" t="inlineStr">
        <is>
          <t>Mapa base de la página</t>
        </is>
      </c>
      <c r="D42" s="34" t="inlineStr">
        <is>
          <t>Usó el estilo positron de CARTO y escribió «© CARTO / OpenStreetMap» en el mapa.</t>
        </is>
      </c>
      <c r="E42" s="34" t="inlineStr">
        <is>
          <t>No se copió la licencia literal de CARTO al catálogo y en las pruebas locales el mapa base se bloqueó, así que no se verificó su carga.</t>
        </is>
      </c>
      <c r="F42" s="34" t="inlineStr">
        <is>
          <t>Parcial</t>
        </is>
      </c>
      <c r="G42" s="34" t="inlineStr">
        <is>
          <t>—</t>
        </is>
      </c>
      <c r="H42" s="34" t="inlineStr">
        <is>
          <t>Pendiente: agregar CARTO/OSM como fuente con su licencia literal o quitar el mapa base.</t>
        </is>
      </c>
    </row>
    <row r="43" ht="15.75" customHeight="1" s="24">
      <c r="A43" s="9" t="n">
        <v>40</v>
      </c>
      <c r="B43" s="34" t="inlineStr">
        <is>
          <t>Claude (Anthropic)</t>
        </is>
      </c>
      <c r="C43" s="34" t="inlineStr">
        <is>
          <t>Decidir cómo mostrar la pobreza por distrito</t>
        </is>
      </c>
      <c r="D43" s="34" t="inlineStr">
        <is>
          <t>Propuso graficarla desde el agregador F16.</t>
        </is>
      </c>
      <c r="E43" s="34" t="inlineStr">
        <is>
          <t>El grupo decidió por escrito antes de graficar: hoy no se grafica; si entra será solo tasa de los 18 distritos, sin cruces con etnia, vivienda subdividida o edad, y sin ranking de «peor distrito».</t>
        </is>
      </c>
      <c r="F43" s="34" t="inlineStr">
        <is>
          <t>Parcial</t>
        </is>
      </c>
      <c r="G43" s="34" t="inlineStr">
        <is>
          <t>F16</t>
        </is>
      </c>
      <c r="H43" s="34" t="inlineStr">
        <is>
          <t>La decisión está en la sección Gente de la página (tarjeta «Pobreza por distrito: cómo la protegemos»).</t>
        </is>
      </c>
    </row>
    <row r="44" ht="15.75" customHeight="1" s="24">
      <c r="A44" s="9" t="n">
        <v>41</v>
      </c>
      <c r="B44" s="34" t="inlineStr">
        <is>
          <t>Claude (Anthropic)</t>
        </is>
      </c>
      <c r="C44" s="34" t="inlineStr">
        <is>
          <t>Cambiar la paleta a los colores de la bandera</t>
        </is>
      </c>
      <c r="D44" s="34" t="inlineStr">
        <is>
          <t>Rehízo la hoja de estilos en rojo #DE2910 y blanco; dejó los colores de series en azul, verde y violeta validados para daltonismo.</t>
        </is>
      </c>
      <c r="E44" s="34" t="inlineStr">
        <is>
          <t>Se probó en escritorio y móvil con capturas; aparecieron textos largos que desbordaban en móvil y se corrigieron.</t>
        </is>
      </c>
      <c r="F44" s="34" t="inlineStr">
        <is>
          <t>Correcto</t>
        </is>
      </c>
      <c r="G44" s="34" t="inlineStr">
        <is>
          <t>—</t>
        </is>
      </c>
      <c r="H44" s="34" t="inlineStr">
        <is>
          <t>El rojo se reserva para tipografía, fondos y el elemento destacado.</t>
        </is>
      </c>
    </row>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sheetData>
  <dataValidations count="1">
    <dataValidation sqref="F4:F44" showDropDown="0" showInputMessage="0" showErrorMessage="0" allowBlank="1" type="list">
      <formula1>"Correcto,Parcial,Incorrecto,Inventado"</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14.43" defaultRowHeight="15" customHeight="1"/>
  <cols>
    <col width="48" customWidth="1" style="24" min="1" max="1"/>
    <col width="14" customWidth="1" style="24" min="2" max="2"/>
    <col width="8.859999999999999" customWidth="1" style="24" min="3" max="26"/>
  </cols>
  <sheetData>
    <row r="1">
      <c r="A1" s="2" t="inlineStr">
        <is>
          <t>Resumen del lago</t>
        </is>
      </c>
    </row>
    <row r="2">
      <c r="A2" s="6" t="inlineStr">
        <is>
          <t>Se calcula solo desde las otras hojas; no cuenta las filas de ejemplo (fila 4).</t>
        </is>
      </c>
    </row>
    <row r="4">
      <c r="A4" s="19" t="inlineStr">
        <is>
          <t>Fuentes registradas</t>
        </is>
      </c>
      <c r="B4" s="20">
        <f>COUNTA('1. Fuentes'!A5:A49)</f>
        <v/>
      </c>
    </row>
    <row r="5">
      <c r="A5" s="21" t="inlineStr">
        <is>
          <t xml:space="preserve">  · integradas al lago</t>
        </is>
      </c>
      <c r="B5" s="20">
        <f>COUNTIF('1. Fuentes'!N5:N49,"Integrada al lago")</f>
        <v/>
      </c>
    </row>
    <row r="6">
      <c r="A6" s="21" t="inlineStr">
        <is>
          <t xml:space="preserve">  · candidatas</t>
        </is>
      </c>
      <c r="B6" s="20">
        <f>COUNTIF('1. Fuentes'!N5:N49,"Candidata")</f>
        <v/>
      </c>
    </row>
    <row r="7">
      <c r="A7" s="21" t="inlineStr">
        <is>
          <t xml:space="preserve">  · que no responden</t>
        </is>
      </c>
      <c r="B7" s="20">
        <f>COUNTIF('1. Fuentes'!N5:N49,"No responde")</f>
        <v/>
      </c>
    </row>
    <row r="8">
      <c r="A8" s="21" t="inlineStr">
        <is>
          <t xml:space="preserve">  · que no existen (inventadas por la IA)</t>
        </is>
      </c>
      <c r="B8" s="20">
        <f>COUNTIF('1. Fuentes'!N5:N49,"No existe (la inventó la IA)")</f>
        <v/>
      </c>
    </row>
    <row r="9">
      <c r="A9" s="21" t="inlineStr">
        <is>
          <t xml:space="preserve">  · descartadas</t>
        </is>
      </c>
      <c r="B9" s="20">
        <f>COUNTIF('1. Fuentes'!N5:N49,"Descartada")</f>
        <v/>
      </c>
    </row>
    <row r="10">
      <c r="A10" s="19" t="inlineStr">
        <is>
          <t>Fuentes con licencia «no declara» o vacía</t>
        </is>
      </c>
      <c r="B10" s="20">
        <f>COUNTIF('1. Fuentes'!H5:H49,"no declara")+COUNTIFS('1. Fuentes'!A5:A49,"&lt;&gt;",'1. Fuentes'!H5:H49,"")</f>
        <v/>
      </c>
    </row>
    <row r="11">
      <c r="A11" s="19" t="inlineStr">
        <is>
          <t>Fuentes con personas identificables o texto libre</t>
        </is>
      </c>
      <c r="B11" s="20">
        <f>COUNTIF('1. Fuentes'!I5:I49,"Personas identificables")+COUNTIF('1. Fuentes'!I5:I49,"Texto libre sin revisar")</f>
        <v/>
      </c>
    </row>
    <row r="12">
      <c r="A12" s="19" t="inlineStr">
        <is>
          <t>Campos en el diccionario</t>
        </is>
      </c>
      <c r="B12" s="20">
        <f>COUNTA('2. Diccionario'!C5:C719)</f>
        <v/>
      </c>
    </row>
    <row r="13">
      <c r="A13" s="21" t="inlineStr">
        <is>
          <t xml:space="preserve">  · clasificados como sensibles o dato personal</t>
        </is>
      </c>
      <c r="B13" s="20">
        <f>COUNTIF('2. Diccionario'!K5:K719,"Sensible")+COUNTIF('2. Diccionario'!K5:K719,"Dato personal")</f>
        <v/>
      </c>
    </row>
    <row r="14">
      <c r="A14" s="21" t="inlineStr">
        <is>
          <t xml:space="preserve">  · sin pregunta del sistema asociada</t>
        </is>
      </c>
      <c r="B14" s="20">
        <f>COUNTIFS('2. Diccionario'!C5:C719,"&lt;&gt;",'2. Diccionario'!M5:M719,"")</f>
        <v/>
      </c>
    </row>
    <row r="15">
      <c r="A15" s="19" t="inlineStr">
        <is>
          <t>Encargos a la IA registrados</t>
        </is>
      </c>
      <c r="B15" s="20">
        <f>COUNTA('3. Bitácora IA'!C4:C44)</f>
        <v/>
      </c>
    </row>
    <row r="16">
      <c r="A16" s="21" t="inlineStr">
        <is>
          <t xml:space="preserve">  · con respuesta incorrecta o inventada</t>
        </is>
      </c>
      <c r="B16" s="20">
        <f>COUNTIF('3. Bitácora IA'!F4:F44,"Incorrecto")+COUNTIF('3. Bitácora IA'!F4:F44,"Inventado")</f>
        <v/>
      </c>
    </row>
    <row r="17">
      <c r="A17" s="19" t="inlineStr">
        <is>
          <t>Porcentaje de aciertos plenos de la IA</t>
        </is>
      </c>
      <c r="B17" s="22">
        <f>IF(B15=0,"-",COUNTIF('3. Bitácora IA'!F4:F44,"Correcto")/B15)</f>
        <v/>
      </c>
    </row>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2026-09-28T11:22:59Z</dcterms:created>
  <dcterms:modified xmlns:dcterms="http://purl.org/dc/terms/" xmlns:xsi="http://www.w3.org/2001/XMLSchema-instance" xsi:type="dcterms:W3CDTF">2026-10-26T12:37:58Z</dcterms:modified>
</cp:coreProperties>
</file>