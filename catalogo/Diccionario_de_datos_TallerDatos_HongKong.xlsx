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Instrucciones" sheetId="1" state="visible" r:id="rId3"/>
    <sheet name="1. Fuentes" sheetId="2" state="visible" r:id="rId4"/>
    <sheet name="2. Diccionario" sheetId="3" state="visible" r:id="rId5"/>
    <sheet name="3. Bitácora IA" sheetId="4" state="visible" r:id="rId6"/>
    <sheet name="Resumen"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<sst xmlns="http://schemas.openxmlformats.org/spreadsheetml/2006/main" count="5455" uniqueCount="1738">
  <si>
    <t xml:space="preserve">Taller de datos · Entrega 1 · El lago y su diccionario</t>
  </si>
  <si>
    <t xml:space="preserve">Tópicos de Sistemas de Información · Profesor Santiago Jiménez Londoño · topicos-si.vercel.app/Tallerdatos</t>
  </si>
  <si>
    <t xml:space="preserve">Datos del grupo</t>
  </si>
  <si>
    <t xml:space="preserve">Ciudad elegida: Hong Kong (Región Administrativa Especial de Hong Kong, China)</t>
  </si>
  <si>
    <t xml:space="preserve">Integrantes: Manuel Arenas Lara</t>
  </si>
  <si>
    <t xml:space="preserve">Enlace al repositorio o a la carpeta del lago: https://github.com/ManuelArenas1/Hong-Kong-gmdigital</t>
  </si>
  <si>
    <t xml:space="preserve">Qué entregan en este archivo</t>
  </si>
  <si>
    <t xml:space="preserve">1. Fuentes · una fila por cada fuente que encontraron en el rastreo, entre o no al lago. Las descartadas también cuentan: explican las decisiones.</t>
  </si>
  <si>
    <t xml:space="preserve">2. Diccionario · una fila por cada campo (columna o clave del JSON) que quedó en el lago. Si un campo no está aquí, no existe.</t>
  </si>
  <si>
    <t xml:space="preserve">3. Bitácora IA · qué le encargaron a la IA durante la búsqueda, qué respondió y cómo lo comprobaron.</t>
  </si>
  <si>
    <t xml:space="preserve">Resumen · se llena solo con fórmulas. No lo editen.</t>
  </si>
  <si>
    <t xml:space="preserve">Cómo llenarlo</t>
  </si>
  <si>
    <t xml:space="preserve">• Escriban solo en las celdas amarillas. La fila gris de cada hoja es un ejemplo (Medellín): pueden borrarla o dejarla, el resumen no la cuenta.</t>
  </si>
  <si>
    <t xml:space="preserve">• El ID de fuente (F01, F02…) une las tres hojas: úsenlo igual en Fuentes, Diccionario y Bitácora IA.</t>
  </si>
  <si>
    <t xml:space="preserve">• Las columnas con lista desplegable solo aceptan esas opciones.</t>
  </si>
  <si>
    <t xml:space="preserve">• La licencia se copia tal como aparece en la fuente. Si la fuente no dice nada, escriban «no declara»: no la supongan.</t>
  </si>
  <si>
    <t xml:space="preserve">• «Fecha en que la probaron» es el día en que la descarga o la API respondió de verdad, no el día en que la IA la mencionó.</t>
  </si>
  <si>
    <t xml:space="preserve">• Una fuente que la IA nombró y que ustedes no pudieron abrir va igual en Fuentes, con estado «No responde» o «No existe».</t>
  </si>
  <si>
    <t xml:space="preserve">1. Catálogo de fuentes</t>
  </si>
  <si>
    <t xml:space="preserve">Una fila por fuente encontrada. Escriban en las celdas amarillas; la fila gris es un ejemplo.</t>
  </si>
  <si>
    <t xml:space="preserve">ID fuente</t>
  </si>
  <si>
    <t xml:space="preserve">Nombre del conjunto de datos</t>
  </si>
  <si>
    <t xml:space="preserve">Entidad que lo publica</t>
  </si>
  <si>
    <t xml:space="preserve">Tipo de publicador</t>
  </si>
  <si>
    <t xml:space="preserve">URL exacta (descarga o API)</t>
  </si>
  <si>
    <t xml:space="preserve">Formato</t>
  </si>
  <si>
    <t xml:space="preserve">Cómo se obtiene</t>
  </si>
  <si>
    <t xml:space="preserve">Licencia (tal como aparece)</t>
  </si>
  <si>
    <t xml:space="preserve">¿Trae datos de personas?</t>
  </si>
  <si>
    <t xml:space="preserve">Cobertura geográfica</t>
  </si>
  <si>
    <t xml:space="preserve">Periodo que cubre</t>
  </si>
  <si>
    <t xml:space="preserve">Frecuencia de actualización</t>
  </si>
  <si>
    <t xml:space="preserve">Fecha en que la probaron (AAAA-MM-DD)</t>
  </si>
  <si>
    <t xml:space="preserve">Estado</t>
  </si>
  <si>
    <t xml:space="preserve">Cómo la encontraron (IA o búsqueda)</t>
  </si>
  <si>
    <t xml:space="preserve">Observaciones</t>
  </si>
  <si>
    <t xml:space="preserve">F01</t>
  </si>
  <si>
    <t xml:space="preserve">Vistas mensuales del artículo «Medellín» en Wikipedia</t>
  </si>
  <si>
    <t xml:space="preserve">Wikimedia Foundation</t>
  </si>
  <si>
    <t xml:space="preserve">Plataforma colaborativa</t>
  </si>
  <si>
    <t xml:space="preserve">https://wikimedia.org/api/rest_v1/metrics/pageviews/per-article/es.wikipedia/all-access/user/Medellín/monthly/20250101/20260831</t>
  </si>
  <si>
    <t xml:space="preserve">JSON</t>
  </si>
  <si>
    <t xml:space="preserve">API sin llave</t>
  </si>
  <si>
    <t xml:space="preserve">CC0</t>
  </si>
  <si>
    <t xml:space="preserve">No</t>
  </si>
  <si>
    <t xml:space="preserve">Ciudad (artículo)</t>
  </si>
  <si>
    <t xml:space="preserve">2025-01 a 2026-08</t>
  </si>
  <si>
    <t xml:space="preserve">Mensual</t>
  </si>
  <si>
    <t xml:space="preserve">2026-09-14</t>
  </si>
  <si>
    <t xml:space="preserve">Integrada al lago</t>
  </si>
  <si>
    <t xml:space="preserve">Se la pedimos a la IA como «fuente de interés público sobre la ciudad»; la probamos con curl</t>
  </si>
  <si>
    <t xml:space="preserve">Cuenta personas, no bots (agente «user»).</t>
  </si>
  <si>
    <t xml:space="preserve">Límites de circunscripciones del Consejo de Distrito (DCCA) 2019</t>
  </si>
  <si>
    <t xml:space="preserve">Electoral Affairs Commission (EAC); GeoJSON publicado por hkdce en GitHub</t>
  </si>
  <si>
    <t xml:space="preserve">Entidad pública</t>
  </si>
  <si>
    <t xml:space="preserve">https://raw.githubusercontent.com/hkdce/dcca-boundaries/master/converted-geojson/DCCA_2019.geojson</t>
  </si>
  <si>
    <t xml:space="preserve">GeoJSON</t>
  </si>
  <si>
    <t xml:space="preserve">Descarga directa</t>
  </si>
  <si>
    <t xml:space="preserve">no declara</t>
  </si>
  <si>
    <t xml:space="preserve">18 distritos / 452 DCCA</t>
  </si>
  <si>
    <t xml:space="preserve">2019</t>
  </si>
  <si>
    <t xml:space="preserve">Única vez</t>
  </si>
  <si>
    <t xml:space="preserve">2026-10-06</t>
  </si>
  <si>
    <t xml:space="preserve">La IA la ubicó por búsqueda web tras fallar otras opciones; descargada con curl</t>
  </si>
  <si>
    <t xml:space="preserve">El repositorio espejo no tiene archivo LICENSE (404). Los polígonos incluyen mar: la densidad usa área terrestre oficial (F04).</t>
  </si>
  <si>
    <t xml:space="preserve">F02</t>
  </si>
  <si>
    <t xml:space="preserve">Censo de Población 2021 — estadísticas por distrito (DC_21C)</t>
  </si>
  <si>
    <t xml:space="preserve">Census and Statistics Department (C&amp;SD), vía portal CSDI</t>
  </si>
  <si>
    <t xml:space="preserve">https://portal.csdi.gov.hk/server/services/common/censtatd_rcd_1635932856094_19982/MapServer/WFSServer?service=wfs&amp;request=GetFeature&amp;typenames=csdi:DC_21C&amp;outputFormat=CSV</t>
  </si>
  <si>
    <t xml:space="preserve">CSV</t>
  </si>
  <si>
    <t xml:space="preserve">open data for free re-use … subject to the Terms and Conditions of Use as published on DATA.GOV.HK</t>
  </si>
  <si>
    <t xml:space="preserve">Solo conteos por zona</t>
  </si>
  <si>
    <t xml:space="preserve">18 distritos</t>
  </si>
  <si>
    <t xml:space="preserve">2021 (jun–ago)</t>
  </si>
  <si>
    <t xml:space="preserve">La IA encontró el servicio WFS en la ficha de data.gov.hk después de que el XLSX/ZIP oficial no se pudiera leer</t>
  </si>
  <si>
    <t xml:space="preserve">Validado: suma de 5 grupos de edad y de 5 tipos de vivienda = población total en los 18 distritos.</t>
  </si>
  <si>
    <t xml:space="preserve">F03</t>
  </si>
  <si>
    <t xml:space="preserve">Estadísticas de población y hogares por distrito (Encuesta General de Hogares)</t>
  </si>
  <si>
    <t xml:space="preserve">https://portal.csdi.gov.hk/server/services/common/censtatd_rcd_1635934545173_69201/MapServer/WFSServer?service=wfs&amp;request=GetFeature&amp;typenames=csdi:DC_GHS&amp;outputFormat=CSV</t>
  </si>
  <si>
    <t xml:space="preserve">Terms and Conditions of Use of DATA.GOV.HK (reutilización comercial y no comercial con atribución)</t>
  </si>
  <si>
    <t xml:space="preserve">2016 a 2025</t>
  </si>
  <si>
    <t xml:space="preserve">Anual</t>
  </si>
  <si>
    <t xml:space="preserve">La IA la encontró en data.gov.hk al buscar la publicación B1130301</t>
  </si>
  <si>
    <t xml:space="preserve">Validado: población 2021 del panel ≈ censo (F02). La edad mediana viene redondeada a entero.</t>
  </si>
  <si>
    <t xml:space="preserve">F04</t>
  </si>
  <si>
    <t xml:space="preserve">Districts of Hong Kong (tabla de área, población y densidad)</t>
  </si>
  <si>
    <t xml:space="preserve">Wikipedia (Wikimedia Foundation)</t>
  </si>
  <si>
    <t xml:space="preserve">https://en.wikipedia.org/wiki/Districts_of_Hong_Kong</t>
  </si>
  <si>
    <t xml:space="preserve">Página web</t>
  </si>
  <si>
    <t xml:space="preserve">Solo PDF o página</t>
  </si>
  <si>
    <t xml:space="preserve">CC BY-SA 4.0</t>
  </si>
  <si>
    <t xml:space="preserve">Censo 2021</t>
  </si>
  <si>
    <t xml:space="preserve">No se sabe</t>
  </si>
  <si>
    <t xml:space="preserve">La IA la consultó para obtener el área terrestre oficial</t>
  </si>
  <si>
    <t xml:space="preserve">La población 2021 coincide exacto con F02 en los 18 distritos; se usa solo el área y el nombre en chino.</t>
  </si>
  <si>
    <t xml:space="preserve">F05</t>
  </si>
  <si>
    <t xml:space="preserve">Rutas y paradas de transporte público (bus, minibús, MTR, tren ligero, ferry)</t>
  </si>
  <si>
    <t xml:space="preserve">hkbus/hk-bus-crawling (compila datos abiertos de operadores)</t>
  </si>
  <si>
    <t xml:space="preserve">https://raw.githubusercontent.com/hkbus/hk-bus-crawling/gh-pages/routeFareList.min.json</t>
  </si>
  <si>
    <t xml:space="preserve">GNU GENERAL PUBLIC LICENSE Version 2</t>
  </si>
  <si>
    <t xml:space="preserve">Todo Hong Kong (15.287 paradas)</t>
  </si>
  <si>
    <t xml:space="preserve">Vigente a 2026-10</t>
  </si>
  <si>
    <t xml:space="preserve">La IA llegó a ella revisando el paquete npm hk-bus-eta; descargada con curl</t>
  </si>
  <si>
    <t xml:space="preserve">Los datos de origen son de KMB, Citybus, NLB, GMB, MTR y ferris publicados en DATA.GOV.HK.</t>
  </si>
  <si>
    <t xml:space="preserve">F06</t>
  </si>
  <si>
    <t xml:space="preserve">Hospitales públicos con urgencias (A&amp;E) y coordenadas</t>
  </si>
  <si>
    <t xml:space="preserve">Paquete npm ane-hk (lista de la Hospital Authority)</t>
  </si>
  <si>
    <t xml:space="preserve">https://registry.npmjs.org/ane-hk</t>
  </si>
  <si>
    <t xml:space="preserve">Otro</t>
  </si>
  <si>
    <t xml:space="preserve">GPL-3.0-only</t>
  </si>
  <si>
    <t xml:space="preserve">18 hospitales</t>
  </si>
  <si>
    <t xml:space="preserve">La IA buscó en npm paquetes con datos de Hong Kong</t>
  </si>
  <si>
    <t xml:space="preserve">Solo se extrajeron nombres y coordenadas (hechos), no código. Coordenadas no contrastadas con fuente oficial; falta el nuevo hospital de Kai Tak.</t>
  </si>
  <si>
    <t xml:space="preserve">F07</t>
  </si>
  <si>
    <t xml:space="preserve">Información de estaciones meteorológicas</t>
  </si>
  <si>
    <t xml:space="preserve">Hong Kong Observatory (HKO)</t>
  </si>
  <si>
    <t xml:space="preserve">https://www.hko.gov.hk/en/cis/stn.htm</t>
  </si>
  <si>
    <t xml:space="preserve">86 estaciones</t>
  </si>
  <si>
    <t xml:space="preserve">1884 a 2026</t>
  </si>
  <si>
    <t xml:space="preserve">La IA la encontró por búsqueda web</t>
  </si>
  <si>
    <t xml:space="preserve">Coordenadas en grados-minutos-segundos convertidas a decimal; contrastadas con F08 (24 de 26 a &lt;1 m).</t>
  </si>
  <si>
    <t xml:space="preserve">F08</t>
  </si>
  <si>
    <t xml:space="preserve">Tiempo regional — humedad relativa del último minuto (formato espacial)</t>
  </si>
  <si>
    <t xml:space="preserve">Hong Kong Observatory, vía portal CSDI</t>
  </si>
  <si>
    <t xml:space="preserve">https://portal.csdi.gov.hk/server/services/common/hko_rcd_1634875711587_25731/MapServer/WFSServer?service=wfs&amp;request=GetFeature&amp;typenames=csdi:latest_1min_humidity&amp;outputFormat=GEOJSON</t>
  </si>
  <si>
    <t xml:space="preserve">26 estaciones</t>
  </si>
  <si>
    <t xml:space="preserve">Tiempo real</t>
  </si>
  <si>
    <t xml:space="preserve">La IA la encontró en data.gov.hk</t>
  </si>
  <si>
    <t xml:space="preserve">Se usa para control de calidad de coordenadas; trae la URL del CSV en vivo de cada estación.</t>
  </si>
  <si>
    <t xml:space="preserve">F09</t>
  </si>
  <si>
    <t xml:space="preserve">AQHI actual por estación de calidad del aire</t>
  </si>
  <si>
    <t xml:space="preserve">Environmental Protection Department (EPD)</t>
  </si>
  <si>
    <t xml:space="preserve">https://www.aqhi.gov.hk/epd/ddata/html/out/aqhi_ind_rss_Eng.xml</t>
  </si>
  <si>
    <t xml:space="preserve">18 estaciones</t>
  </si>
  <si>
    <t xml:space="preserve">Captura 2026-10-06 07:30 HKT</t>
  </si>
  <si>
    <t xml:space="preserve">La IA la encontró en data.gov.hk (actualización horaria)</t>
  </si>
  <si>
    <t xml:space="preserve">Formato XML/RSS. Captura puntual; las estaciones se asignan a distrito por nombre (sin coordenadas).</t>
  </si>
  <si>
    <t xml:space="preserve">F10</t>
  </si>
  <si>
    <t xml:space="preserve">PIB per cápita de Hong Kong (US$ corrientes)</t>
  </si>
  <si>
    <t xml:space="preserve">Banco Mundial, publicado por FRED (St. Louis Fed)</t>
  </si>
  <si>
    <t xml:space="preserve">https://fred.stlouisfed.org/data/PCAGDPHKA646NWDB</t>
  </si>
  <si>
    <t xml:space="preserve">Data in this graph are copyrighted. Please review the copyright information in the series notes before sharing.</t>
  </si>
  <si>
    <t xml:space="preserve">Hong Kong</t>
  </si>
  <si>
    <t xml:space="preserve">1960 a 2025</t>
  </si>
  <si>
    <t xml:space="preserve">Búsqueda web después de que la API del Banco Mundial no se pudo usar</t>
  </si>
  <si>
    <t xml:space="preserve">Se usa 2000–2025.</t>
  </si>
  <si>
    <t xml:space="preserve">F11</t>
  </si>
  <si>
    <t xml:space="preserve">PIB per cápita de Hong Kong (US$ constantes)</t>
  </si>
  <si>
    <t xml:space="preserve">https://fred.stlouisfed.org/data/NYGDPPCAPKDHKG</t>
  </si>
  <si>
    <t xml:space="preserve">1961 a 2025</t>
  </si>
  <si>
    <t xml:space="preserve">Búsqueda web</t>
  </si>
  <si>
    <t xml:space="preserve">FRED la rotula como dólares de 2010, pero el valor de 2015 coincide con el corriente: base 2015.</t>
  </si>
  <si>
    <t xml:space="preserve">F12</t>
  </si>
  <si>
    <t xml:space="preserve">Inflación, precios al consumidor (% anual)</t>
  </si>
  <si>
    <t xml:space="preserve">https://fred.stlouisfed.org/data/FPCPITOTLZGHKG</t>
  </si>
  <si>
    <t xml:space="preserve">2000 a 2025 (usado)</t>
  </si>
  <si>
    <t xml:space="preserve">F13</t>
  </si>
  <si>
    <t xml:space="preserve">Situación de delitos totales y violentos (mensual)</t>
  </si>
  <si>
    <t xml:space="preserve">Hong Kong Police Force (HKPF)</t>
  </si>
  <si>
    <t xml:space="preserve">https://www.police.gov.hk/info/doc/crime_details_overall.csv</t>
  </si>
  <si>
    <t xml:space="preserve">Hong Kong (sin desagregar)</t>
  </si>
  <si>
    <t xml:space="preserve">2022-01 a 2024-12</t>
  </si>
  <si>
    <t xml:space="preserve">La suma 2024 (94.948) difiere del total anual publicado en F14 (94.747). No trae distritos.</t>
  </si>
  <si>
    <t xml:space="preserve">F14</t>
  </si>
  <si>
    <t xml:space="preserve">Police in Figures 2025</t>
  </si>
  <si>
    <t xml:space="preserve">https://www.police.gov.hk/info/doc/police_in_figure/2025/2025_en.html</t>
  </si>
  <si>
    <t xml:space="preserve">2024 y 2025</t>
  </si>
  <si>
    <t xml:space="preserve">Búsqueda web de estadísticas de delito por distrito</t>
  </si>
  <si>
    <t xml:space="preserve">No trae desagregación por distrito; licencia no revisada en la página. Coincide con la wiki (89.137 delitos, −5,9 %).</t>
  </si>
  <si>
    <t xml:space="preserve">F15</t>
  </si>
  <si>
    <t xml:space="preserve">Tasa de desempleo de Hong Kong (desestacionalizada)</t>
  </si>
  <si>
    <t xml:space="preserve">Moody's Analytics (economy.com), con datos del C&amp;SD</t>
  </si>
  <si>
    <t xml:space="preserve">Empresa privada</t>
  </si>
  <si>
    <t xml:space="preserve">https://www.economy.com/hong-kong/unemployment-rate</t>
  </si>
  <si>
    <t xml:space="preserve">2026-05 a 2026-08</t>
  </si>
  <si>
    <t xml:space="preserve">Solo los 2 últimos datos. Reemplazar por la tabla oficial 210-06101 del C&amp;SD cuando se pueda leer su API.</t>
  </si>
  <si>
    <t xml:space="preserve">F16</t>
  </si>
  <si>
    <t xml:space="preserve">Titulares de prensa sobre Hong Kong por tema</t>
  </si>
  <si>
    <t xml:space="preserve">Varios medios (The Standard, SCMP, RTHK, TVB, info.gov.hk, otros)</t>
  </si>
  <si>
    <t xml:space="preserve">Medio de comunicación</t>
  </si>
  <si>
    <t xml:space="preserve">(32 URL, una por titular, en curated/escucha/noticias.csv)</t>
  </si>
  <si>
    <t xml:space="preserve">Texto libre sin revisar</t>
  </si>
  <si>
    <t xml:space="preserve">2025 a 2026-10</t>
  </si>
  <si>
    <t xml:space="preserve">8 búsquedas web hechas por la IA (vivienda, comercio, transporte, etc.)</t>
  </si>
  <si>
    <t xml:space="preserve">Solo titular y URL; cada medio tiene sus propios derechos. Los titulares pueden nombrar personas: revisar antes de publicar.</t>
  </si>
  <si>
    <t xml:space="preserve">F17</t>
  </si>
  <si>
    <t xml:space="preserve">Diccionario de barrios por distrito (hk-location.json)</t>
  </si>
  <si>
    <t xml:space="preserve">Paquete npm hkopendata 1.0.0</t>
  </si>
  <si>
    <t xml:space="preserve">https://registry.npmjs.org/hkopendata/-/hkopendata-1.0.0.tgz</t>
  </si>
  <si>
    <t xml:space="preserve">MIT</t>
  </si>
  <si>
    <t xml:space="preserve">La IA buscó en npm</t>
  </si>
  <si>
    <t xml:space="preserve">Se usa para detectar distritos mencionados en los titulares.</t>
  </si>
  <si>
    <t xml:space="preserve">F18</t>
  </si>
  <si>
    <t xml:space="preserve">Censo 2021 — perfiles por distrito (DC_21C.xlsx / DC_21C.zip)</t>
  </si>
  <si>
    <t xml:space="preserve">Census and Statistics Department (C&amp;SD)</t>
  </si>
  <si>
    <t xml:space="preserve">https://www.census2021.gov.hk/doc/DC_21C.xlsx</t>
  </si>
  <si>
    <t xml:space="preserve">XLSX</t>
  </si>
  <si>
    <t xml:space="preserve">Bloquea scripts o pide sesión</t>
  </si>
  <si>
    <t xml:space="preserve">2021</t>
  </si>
  <si>
    <t xml:space="preserve">Candidata</t>
  </si>
  <si>
    <t xml:space="preserve">La IA la encontró en la página District Profiles del censo</t>
  </si>
  <si>
    <t xml:space="preserve">Es la fuente oficial ideal, pero el entorno de la IA no puede descargarla y la herramienta web no lee binarios. Mismos datos que F02.</t>
  </si>
  <si>
    <t xml:space="preserve">F19</t>
  </si>
  <si>
    <t xml:space="preserve">API de tablas web del C&amp;SD (get.php)</t>
  </si>
  <si>
    <t xml:space="preserve">https://www.censtatd.gov.hk/api/get.php?id=130-06805&amp;lang=en&amp;full_series=1</t>
  </si>
  <si>
    <t xml:space="preserve">Varía por tabla</t>
  </si>
  <si>
    <t xml:space="preserve">La IA la propuso para series oficiales (desempleo, hogares)</t>
  </si>
  <si>
    <t xml:space="preserve">Respondió «Parameter is not defined»: exige un parámetro comprimido que arma la web del C&amp;SD.</t>
  </si>
  <si>
    <t xml:space="preserve">F20</t>
  </si>
  <si>
    <t xml:space="preserve">geoBoundaries — Hong Kong ADM1</t>
  </si>
  <si>
    <t xml:space="preserve">William &amp; Mary geoLab</t>
  </si>
  <si>
    <t xml:space="preserve">Academia u ONG</t>
  </si>
  <si>
    <t xml:space="preserve">https://raw.githubusercontent.com/wmgeolab/geoBoundaries/main/releaseData/gbOpen/HKG/ADM1/geoBoundaries-HKG-ADM1.geojson</t>
  </si>
  <si>
    <t xml:space="preserve">—</t>
  </si>
  <si>
    <t xml:space="preserve">No existe (la inventó la IA)</t>
  </si>
  <si>
    <t xml:space="preserve">La IA supuso la ruta del archivo</t>
  </si>
  <si>
    <t xml:space="preserve">Respondió 404: no hay ADM1 de HKG en esa ruta.</t>
  </si>
  <si>
    <t xml:space="preserve">F21</t>
  </si>
  <si>
    <t xml:space="preserve">Highcharts Map Collection — mapa de distritos de Hong Kong</t>
  </si>
  <si>
    <t xml:space="preserve">Highsoft (paquete npm @highcharts/map-collection)</t>
  </si>
  <si>
    <t xml:space="preserve">https://registry.npmjs.org/@highcharts/map-collection</t>
  </si>
  <si>
    <t xml:space="preserve">La IA supuso que el paquete traía countries/hk</t>
  </si>
  <si>
    <t xml:space="preserve">La versión 2.3.3 no incluye la carpeta de Hong Kong.</t>
  </si>
  <si>
    <t xml:space="preserve">F22</t>
  </si>
  <si>
    <t xml:space="preserve">DC2015_JSON — elecciones de Consejo de Distrito 2015</t>
  </si>
  <si>
    <t xml:space="preserve">UnKnoWn-Consortium (GitHub)</t>
  </si>
  <si>
    <t xml:space="preserve">https://github.com/UnKnoWn-Consortium/DC2015_JSON</t>
  </si>
  <si>
    <t xml:space="preserve">Personas identificables</t>
  </si>
  <si>
    <t xml:space="preserve">Circunscripciones 2015</t>
  </si>
  <si>
    <t xml:space="preserve">2015</t>
  </si>
  <si>
    <t xml:space="preserve">Descartada</t>
  </si>
  <si>
    <t xml:space="preserve">Búsqueda web de GeoJSON de distritos</t>
  </si>
  <si>
    <t xml:space="preserve">Sin licencia y con datos de candidatos; límites de 2015 superados por F01.</t>
  </si>
  <si>
    <t xml:space="preserve">F23</t>
  </si>
  <si>
    <t xml:space="preserve">hkdatasets — accidentes de tránsito 2014–2019</t>
  </si>
  <si>
    <t xml:space="preserve">Hong Kong Districts Info (paquete R)</t>
  </si>
  <si>
    <t xml:space="preserve">https://github.com/Hong-Kong-Districts-Info/hkdatasets/raw/master/data-ready/hk_accidents.fst</t>
  </si>
  <si>
    <t xml:space="preserve">Hong Kong (puntos)</t>
  </si>
  <si>
    <t xml:space="preserve">2014 a 2019</t>
  </si>
  <si>
    <t xml:space="preserve">La IA leyó el README del paquete</t>
  </si>
  <si>
    <t xml:space="preserve">Formato .fst de R no legible en el entorno; datos viejos. Útil para seguridad vial (wiki 4.9) en una siguiente entrega.</t>
  </si>
  <si>
    <t xml:space="preserve">F24</t>
  </si>
  <si>
    <t xml:space="preserve">Temperatura media del último minuto por estación (CSV)</t>
  </si>
  <si>
    <t xml:space="preserve">https://data.weather.gov.hk/weatherAPI/hko_data/regional-weather/latest_1min_temperature.csv</t>
  </si>
  <si>
    <t xml:space="preserve">Estaciones HKO</t>
  </si>
  <si>
    <t xml:space="preserve">robots.txt bloquea a la herramienta de la IA; probar desde un script propio para lecturas en vivo.</t>
  </si>
  <si>
    <t xml:space="preserve">F25</t>
  </si>
  <si>
    <t xml:space="preserve">Population and Household Statistics Analysed by District Council District 2024 (PDF)</t>
  </si>
  <si>
    <t xml:space="preserve">https://gia.info.gov.hk/general/202503/28/P2025032800255_490449_1_1743135159842.pdf</t>
  </si>
  <si>
    <t xml:space="preserve">PDF</t>
  </si>
  <si>
    <t xml:space="preserve">2024</t>
  </si>
  <si>
    <t xml:space="preserve">La herramienta no pudo extraer las tablas del PDF; los mismos datos vienen en F03.</t>
  </si>
  <si>
    <t xml:space="preserve">F26</t>
  </si>
  <si>
    <t xml:space="preserve">API de indicadores del Banco Mundial (Hong Kong)</t>
  </si>
  <si>
    <t xml:space="preserve">Banco Mundial</t>
  </si>
  <si>
    <t xml:space="preserve">https://api.worldbank.org/v2/country/HKG/indicator/NY.GDP.MKTP.CD?format=json</t>
  </si>
  <si>
    <t xml:space="preserve">No responde</t>
  </si>
  <si>
    <t xml:space="preserve">La IA la propuso para series macro</t>
  </si>
  <si>
    <t xml:space="preserve">El permiso para consultarla venció sin respuesta en la sesión; se reemplazó por FRED (F10–F12).</t>
  </si>
  <si>
    <t xml:space="preserve">F27</t>
  </si>
  <si>
    <t xml:space="preserve">Archivo histórico de DATA.GOV.HK (list-files)</t>
  </si>
  <si>
    <t xml:space="preserve">Digital Policy Office (DATA.GOV.HK)</t>
  </si>
  <si>
    <t xml:space="preserve">https://api.data.gov.hk/v1/historical-archive/list-files</t>
  </si>
  <si>
    <t xml:space="preserve">Varía</t>
  </si>
  <si>
    <t xml:space="preserve">Diaria</t>
  </si>
  <si>
    <t xml:space="preserve">La IA la probó para históricos de calidad del aire</t>
  </si>
  <si>
    <t xml:space="preserve">Responde, pero no se integró; sirve para series históricas de AQHI.</t>
  </si>
  <si>
    <t xml:space="preserve">F28</t>
  </si>
  <si>
    <t xml:space="preserve">Página de referencia Cerebro Lima</t>
  </si>
  <si>
    <t xml:space="preserve">Proyecto de referencia (Vercel)</t>
  </si>
  <si>
    <t xml:space="preserve">https://cerebro-lima.vercel.app/#panorama</t>
  </si>
  <si>
    <t xml:space="preserve">Lima</t>
  </si>
  <si>
    <t xml:space="preserve">La entregó el usuario como modelo</t>
  </si>
  <si>
    <t xml:space="preserve">No es fuente de datos de HK; se usó solo como referencia de pestañas. El sitio bloquea acceso automatizado.</t>
  </si>
  <si>
    <t xml:space="preserve">2. Diccionario de datos</t>
  </si>
  <si>
    <t xml:space="preserve">Una fila por campo que quedó en el lago. Si un campo del lago no aparece aquí, no existe.</t>
  </si>
  <si>
    <t xml:space="preserve">Archivo o tabla en el lago</t>
  </si>
  <si>
    <t xml:space="preserve">Nombre del campo en el lago</t>
  </si>
  <si>
    <t xml:space="preserve">Nombre original en la fuente</t>
  </si>
  <si>
    <t xml:space="preserve">Qué significa (en una frase)</t>
  </si>
  <si>
    <t xml:space="preserve">Tipo de dato</t>
  </si>
  <si>
    <t xml:space="preserve">Unidad de medida</t>
  </si>
  <si>
    <t xml:space="preserve">Ejemplo de valor</t>
  </si>
  <si>
    <t xml:space="preserve">¿Puede venir vacío?</t>
  </si>
  <si>
    <t xml:space="preserve">Valores permitidos o rango</t>
  </si>
  <si>
    <t xml:space="preserve">Clasificación</t>
  </si>
  <si>
    <t xml:space="preserve">Transformación que le hicieron</t>
  </si>
  <si>
    <t xml:space="preserve">Pregunta del sistema que ayuda a responder</t>
  </si>
  <si>
    <t xml:space="preserve">lago/escucha.json</t>
  </si>
  <si>
    <t xml:space="preserve">vistas_ultimo_mes</t>
  </si>
  <si>
    <t xml:space="preserve">views</t>
  </si>
  <si>
    <t xml:space="preserve">Vistas del artículo de la ciudad hechas por personas en el último mes completo</t>
  </si>
  <si>
    <t xml:space="preserve">Entero</t>
  </si>
  <si>
    <t xml:space="preserve">vistas de personas</t>
  </si>
  <si>
    <t xml:space="preserve">19552</t>
  </si>
  <si>
    <t xml:space="preserve">≥ 0</t>
  </si>
  <si>
    <t xml:space="preserve">Pública</t>
  </si>
  <si>
    <t xml:space="preserve">Se toma el último mes de la serie; la fecha AAAAMMDD se pasa a AAAA-MM</t>
  </si>
  <si>
    <t xml:space="preserve">¿Cuánto interés despierta la ciudad fuera de ella y cómo cambia en el año?</t>
  </si>
  <si>
    <t xml:space="preserve">F05; F06; F07</t>
  </si>
  <si>
    <t xml:space="preserve">curated/atlas_distribuidos/hex_h3_res8.csv</t>
  </si>
  <si>
    <t xml:space="preserve">h3</t>
  </si>
  <si>
    <t xml:space="preserve">(calculado)</t>
  </si>
  <si>
    <t xml:space="preserve">Índice de la celda hexagonal H3 resolución 8 (~0,74 km²).</t>
  </si>
  <si>
    <t xml:space="preserve">Código</t>
  </si>
  <si>
    <t xml:space="preserve">8841034805fffff</t>
  </si>
  <si>
    <t xml:space="preserve">Índice H3 de 15 caracteres hexadecimales</t>
  </si>
  <si>
    <t xml:space="preserve">h3.latlng_to_cell(lat, lon, 8).</t>
  </si>
  <si>
    <t xml:space="preserve">¿En qué celda de la malla cae cada activo?</t>
  </si>
  <si>
    <t xml:space="preserve">estacion_meteorologica</t>
  </si>
  <si>
    <t xml:space="preserve">Estaciones meteorológicas en la celda.</t>
  </si>
  <si>
    <t xml:space="preserve">estaciones</t>
  </si>
  <si>
    <t xml:space="preserve">0</t>
  </si>
  <si>
    <t xml:space="preserve">0 a 2</t>
  </si>
  <si>
    <t xml:space="preserve">Conteo por celda H3.</t>
  </si>
  <si>
    <t xml:space="preserve">¿Dónde hay sensores climáticos?</t>
  </si>
  <si>
    <t xml:space="preserve">hospital_urgencias</t>
  </si>
  <si>
    <t xml:space="preserve">Hospitales con urgencias en la celda.</t>
  </si>
  <si>
    <t xml:space="preserve">hospitales</t>
  </si>
  <si>
    <t xml:space="preserve">¿Dónde están las urgencias?</t>
  </si>
  <si>
    <t xml:space="preserve">parada_transporte</t>
  </si>
  <si>
    <t xml:space="preserve">Paradas de transporte en la celda.</t>
  </si>
  <si>
    <t xml:space="preserve">paradas</t>
  </si>
  <si>
    <t xml:space="preserve">1</t>
  </si>
  <si>
    <t xml:space="preserve">0 a 159</t>
  </si>
  <si>
    <t xml:space="preserve">¿Dónde se concentra la red de transporte?</t>
  </si>
  <si>
    <t xml:space="preserve">rutas_servidas</t>
  </si>
  <si>
    <t xml:space="preserve">Suma de rutas en las paradas de la celda.</t>
  </si>
  <si>
    <t xml:space="preserve">rutas-parada</t>
  </si>
  <si>
    <t xml:space="preserve">0 a 1.060</t>
  </si>
  <si>
    <t xml:space="preserve">Suma de n_rutas por celda.</t>
  </si>
  <si>
    <t xml:space="preserve">¿Qué celdas tienen más servicio de transporte?</t>
  </si>
  <si>
    <t xml:space="preserve">codigo</t>
  </si>
  <si>
    <t xml:space="preserve">dc_class / 1ª letra de CACODE</t>
  </si>
  <si>
    <t xml:space="preserve">Código de letra del distrito (A–T) usado por el censo y la EAC.</t>
  </si>
  <si>
    <t xml:space="preserve">D</t>
  </si>
  <si>
    <t xml:space="preserve">Sí</t>
  </si>
  <si>
    <t xml:space="preserve">Texto libre (18 valores distintos)</t>
  </si>
  <si>
    <t xml:space="preserve">Derivado de la primera letra del código DCCA; se usa como llave de unión entre todas las tablas.</t>
  </si>
  <si>
    <t xml:space="preserve">¿A qué distrito pertenece este registro?</t>
  </si>
  <si>
    <t xml:space="preserve">lat</t>
  </si>
  <si>
    <t xml:space="preserve">location.lat / Latitude / lat</t>
  </si>
  <si>
    <t xml:space="preserve">Latitud del punto.</t>
  </si>
  <si>
    <t xml:space="preserve">Coordenada / geometría</t>
  </si>
  <si>
    <t xml:space="preserve">grados decimales (WGS84)</t>
  </si>
  <si>
    <t xml:space="preserve">22.2124</t>
  </si>
  <si>
    <t xml:space="preserve">22.19 a 22.55</t>
  </si>
  <si>
    <t xml:space="preserve">En estaciones HKO se convirtió de grados-minutos-segundos a decimal.</t>
  </si>
  <si>
    <t xml:space="preserve">¿Dónde está ubicado en el mapa?</t>
  </si>
  <si>
    <t xml:space="preserve">lon</t>
  </si>
  <si>
    <t xml:space="preserve">location.lng / Longitude / long</t>
  </si>
  <si>
    <t xml:space="preserve">Longitud del punto.</t>
  </si>
  <si>
    <t xml:space="preserve">114.196</t>
  </si>
  <si>
    <t xml:space="preserve">113.9 a 114.4</t>
  </si>
  <si>
    <t xml:space="preserve">nivel_cobertura</t>
  </si>
  <si>
    <t xml:space="preserve">Nivel de cobertura de transporte de la celda según su cuartil de paradas.</t>
  </si>
  <si>
    <t xml:space="preserve">Texto</t>
  </si>
  <si>
    <t xml:space="preserve">baja</t>
  </si>
  <si>
    <t xml:space="preserve">alta, baja, media, muy_alta</t>
  </si>
  <si>
    <t xml:space="preserve">Cuartiles del rango percentil de parada_transporte.</t>
  </si>
  <si>
    <t xml:space="preserve">¿Qué zonas están sub-servidas en transporte?</t>
  </si>
  <si>
    <t xml:space="preserve">curated/atlas_distribuidos/puntos.csv</t>
  </si>
  <si>
    <t xml:space="preserve">capa</t>
  </si>
  <si>
    <t xml:space="preserve">(no existe en la fuente)</t>
  </si>
  <si>
    <t xml:space="preserve">Tipo de activo puntual.</t>
  </si>
  <si>
    <t xml:space="preserve">estacion_meteorologica, hospital_urgencias, parada_transporte</t>
  </si>
  <si>
    <t xml:space="preserve">Rotulado al unir capas (parada, hospital, estación).</t>
  </si>
  <si>
    <t xml:space="preserve">¿Qué tipo de activo es?</t>
  </si>
  <si>
    <t xml:space="preserve">id</t>
  </si>
  <si>
    <t xml:space="preserve">id_parada / hospital_en / codigo_estacion:tipo</t>
  </si>
  <si>
    <t xml:space="preserve">Identificador del activo dentro de su capa.</t>
  </si>
  <si>
    <t xml:space="preserve">00040ED8B61CA94B</t>
  </si>
  <si>
    <t xml:space="preserve">Texto libre (15389 valores distintos)</t>
  </si>
  <si>
    <t xml:space="preserve">Unificado en una sola columna.</t>
  </si>
  <si>
    <t xml:space="preserve">¿Qué activo es?</t>
  </si>
  <si>
    <t xml:space="preserve">nombre</t>
  </si>
  <si>
    <t xml:space="preserve">nombre_en / hospital_en / estacion</t>
  </si>
  <si>
    <t xml:space="preserve">Nombre del activo.</t>
  </si>
  <si>
    <t xml:space="preserve">PUBLIC SQUARE STREET YAU MA TEI (YT545)</t>
  </si>
  <si>
    <t xml:space="preserve">Texto libre (13183 valores distintos)</t>
  </si>
  <si>
    <t xml:space="preserve">¿Cómo se llama el activo?</t>
  </si>
  <si>
    <t xml:space="preserve">subtipo</t>
  </si>
  <si>
    <t xml:space="preserve">modos / tipo / servicio</t>
  </si>
  <si>
    <t xml:space="preserve">Subtipo del activo (modos de transporte, tipo de estación, servicio).</t>
  </si>
  <si>
    <t xml:space="preserve">bus</t>
  </si>
  <si>
    <t xml:space="preserve">A&amp;E, automatica, boya, bus, ferry, mareografo, metro_mtr, minibus, pluviometro, tren_ligero, tripulada, viento</t>
  </si>
  <si>
    <t xml:space="preserve">¿Qué subtipo de activo es?</t>
  </si>
  <si>
    <t xml:space="preserve">22.3097</t>
  </si>
  <si>
    <t xml:space="preserve">22.18 a 22.55</t>
  </si>
  <si>
    <t xml:space="preserve">114.171</t>
  </si>
  <si>
    <t xml:space="preserve">E</t>
  </si>
  <si>
    <t xml:space="preserve">codigo_dcca</t>
  </si>
  <si>
    <t xml:space="preserve">CACODE</t>
  </si>
  <si>
    <t xml:space="preserve">Código de la circunscripción del Consejo de Distrito (DCCA 2019).</t>
  </si>
  <si>
    <t xml:space="preserve">E17</t>
  </si>
  <si>
    <t xml:space="preserve">Letra A–T + 2 dígitos (452 valores)</t>
  </si>
  <si>
    <t xml:space="preserve">Renombrado; para puntos se asigna por unión espacial punto-en-polígono (o polígono más cercano ≤1 km).</t>
  </si>
  <si>
    <t xml:space="preserve">¿En qué circunscripción cae este punto o zona?</t>
  </si>
  <si>
    <t xml:space="preserve">peso</t>
  </si>
  <si>
    <t xml:space="preserve">Peso del punto para agregaciones (rutas en paradas, 1 en el resto).</t>
  </si>
  <si>
    <t xml:space="preserve">rutas o unidades</t>
  </si>
  <si>
    <t xml:space="preserve">3</t>
  </si>
  <si>
    <t xml:space="preserve">1 a 66</t>
  </si>
  <si>
    <t xml:space="preserve">n_rutas para paradas; 1 para hospitales y estaciones.</t>
  </si>
  <si>
    <t xml:space="preserve">¿Cuánto pesa cada punto en la cobertura?</t>
  </si>
  <si>
    <t xml:space="preserve">88411cb369fffff</t>
  </si>
  <si>
    <t xml:space="preserve">curated/atlas_zonas/atlas_circunscripciones.csv</t>
  </si>
  <si>
    <t xml:space="preserve">B11</t>
  </si>
  <si>
    <t xml:space="preserve">F01; F02; F03; F05; F06</t>
  </si>
  <si>
    <t xml:space="preserve">nombre_en</t>
  </si>
  <si>
    <t xml:space="preserve">ENAME / name.en</t>
  </si>
  <si>
    <t xml:space="preserve">Nombre en inglés del lugar (circunscripción, parada o estación).</t>
  </si>
  <si>
    <t xml:space="preserve">Stubbs Road</t>
  </si>
  <si>
    <t xml:space="preserve">Texto libre (452 valores distintos)</t>
  </si>
  <si>
    <t xml:space="preserve">Renombrado.</t>
  </si>
  <si>
    <t xml:space="preserve">¿Cómo se llama este lugar?</t>
  </si>
  <si>
    <t xml:space="preserve">nombre_zh</t>
  </si>
  <si>
    <t xml:space="preserve">CNAME / name.zh</t>
  </si>
  <si>
    <t xml:space="preserve">Nombre en chino del lugar (circunscripción, parada o estación).</t>
  </si>
  <si>
    <t xml:space="preserve">司徒拔道</t>
  </si>
  <si>
    <t xml:space="preserve">¿Cómo se llama este lugar en chino?</t>
  </si>
  <si>
    <t xml:space="preserve">B</t>
  </si>
  <si>
    <t xml:space="preserve">distrito_en</t>
  </si>
  <si>
    <t xml:space="preserve">dc_eng</t>
  </si>
  <si>
    <t xml:space="preserve">Nombre oficial del distrito en inglés.</t>
  </si>
  <si>
    <t xml:space="preserve">Wan Chai</t>
  </si>
  <si>
    <t xml:space="preserve">Estandarizado contra la tabla maestra de 18 distritos.</t>
  </si>
  <si>
    <t xml:space="preserve">¿Cómo se llama el distrito?</t>
  </si>
  <si>
    <t xml:space="preserve">distrito_es</t>
  </si>
  <si>
    <t xml:space="preserve">Nombre del distrito en español para la interfaz.</t>
  </si>
  <si>
    <t xml:space="preserve">Traducción propia del nombre inglés.</t>
  </si>
  <si>
    <t xml:space="preserve">¿Cómo mostrar el distrito al usuario?</t>
  </si>
  <si>
    <t xml:space="preserve">region</t>
  </si>
  <si>
    <t xml:space="preserve">Gran región a la que pertenece el distrito (Isla de HK, Kowloon o Nuevos Territorios).</t>
  </si>
  <si>
    <t xml:space="preserve">Isla de Hong Kong</t>
  </si>
  <si>
    <t xml:space="preserve">Isla de Hong Kong, Kowloon, Nuevos Territorios</t>
  </si>
  <si>
    <t xml:space="preserve">Asignada por tabla maestra según la división administrativa oficial; traducida al español.</t>
  </si>
  <si>
    <t xml:space="preserve">¿Cómo se reparte la población entre las tres regiones? (Wiki 1.2)</t>
  </si>
  <si>
    <t xml:space="preserve">area_km2_poligono</t>
  </si>
  <si>
    <t xml:space="preserve">Shape_Area (recalculado)</t>
  </si>
  <si>
    <t xml:space="preserve">Área del polígono de la circunscripción calculada en SIG (incluye mar).</t>
  </si>
  <si>
    <t xml:space="preserve">Decimal</t>
  </si>
  <si>
    <t xml:space="preserve">km²</t>
  </si>
  <si>
    <t xml:space="preserve">4.2032</t>
  </si>
  <si>
    <t xml:space="preserve">0.0458 a 388.9</t>
  </si>
  <si>
    <t xml:space="preserve">Área recalculada en EPSG:2326 tras reparar geometrías (buffer 0).</t>
  </si>
  <si>
    <t xml:space="preserve">¿Qué tan grande es cada circunscripción?</t>
  </si>
  <si>
    <t xml:space="preserve">paradas_transporte</t>
  </si>
  <si>
    <t xml:space="preserve">Número de paradas de transporte público con rutas activas.</t>
  </si>
  <si>
    <t xml:space="preserve">71</t>
  </si>
  <si>
    <t xml:space="preserve">1 a 301</t>
  </si>
  <si>
    <t xml:space="preserve">Conteo de paradas por código de distrito o DCCA.</t>
  </si>
  <si>
    <t xml:space="preserve">¿Qué zonas tienen más oferta de transporte?</t>
  </si>
  <si>
    <t xml:space="preserve">paradas_por_km2_poligono</t>
  </si>
  <si>
    <t xml:space="preserve">Paradas por km² del polígono de la circunscripción (incluye mar).</t>
  </si>
  <si>
    <t xml:space="preserve">paradas/km²</t>
  </si>
  <si>
    <t xml:space="preserve">16.89</t>
  </si>
  <si>
    <t xml:space="preserve">0.01 a 381.9</t>
  </si>
  <si>
    <t xml:space="preserve">paradas_transporte / area_km2_poligono.</t>
  </si>
  <si>
    <t xml:space="preserve">¿Dónde es más densa la red de transporte a escala fina?</t>
  </si>
  <si>
    <t xml:space="preserve">suma_rutas_en_paradas</t>
  </si>
  <si>
    <t xml:space="preserve">Suma del número de rutas en todas las paradas de la circunscripción.</t>
  </si>
  <si>
    <t xml:space="preserve">170</t>
  </si>
  <si>
    <t xml:space="preserve">2 a 1.914</t>
  </si>
  <si>
    <t xml:space="preserve">Suma de n_rutas por DCCA.</t>
  </si>
  <si>
    <t xml:space="preserve">¿Qué circunscripciones tienen más servicio de transporte?</t>
  </si>
  <si>
    <t xml:space="preserve">curated/atlas_zonas/atlas_distritos.csv</t>
  </si>
  <si>
    <t xml:space="preserve">A</t>
  </si>
  <si>
    <t xml:space="preserve">Copiado de curated/geo/distritos.csv (unión por codigo). Origen: Derivado de la primera letra del código DCCA; se usa como llave de unión entre todas las tablas.</t>
  </si>
  <si>
    <t xml:space="preserve">Central and Western</t>
  </si>
  <si>
    <t xml:space="preserve">Copiado de curated/geo/distritos.csv (unión por codigo). Origen: Estandarizado contra la tabla maestra de 18 distritos.</t>
  </si>
  <si>
    <t xml:space="preserve">distrito_zh</t>
  </si>
  <si>
    <r>
      <rPr>
        <sz val="10"/>
        <rFont val="Arial"/>
        <family val="2"/>
        <charset val="1"/>
      </rPr>
      <t xml:space="preserve">District (</t>
    </r>
    <r>
      <rPr>
        <sz val="10"/>
        <rFont val="Noto Sans CJK SC"/>
        <family val="2"/>
      </rPr>
      <t xml:space="preserve">中文</t>
    </r>
    <r>
      <rPr>
        <sz val="10"/>
        <rFont val="Arial"/>
        <family val="2"/>
        <charset val="1"/>
      </rPr>
      <t xml:space="preserve">)</t>
    </r>
  </si>
  <si>
    <t xml:space="preserve">Nombre del distrito en chino tradicional.</t>
  </si>
  <si>
    <t xml:space="preserve">中西區</t>
  </si>
  <si>
    <t xml:space="preserve">Copiado de curated/geo/distritos.csv (unión por codigo). Origen: Tomado de la tabla de Wikipedia y unido por nombre inglés.</t>
  </si>
  <si>
    <t xml:space="preserve">¿Cómo se llama el distrito en chino?</t>
  </si>
  <si>
    <t xml:space="preserve">Centro y Oeste</t>
  </si>
  <si>
    <t xml:space="preserve">Copiado de curated/geo/distritos.csv (unión por codigo). Origen: Traducción propia del nombre inglés.</t>
  </si>
  <si>
    <t xml:space="preserve">Copiado de curated/geo/distritos.csv (unión por codigo). Origen: Asignada por tabla maestra según la división administrativa oficial; traducida al español.</t>
  </si>
  <si>
    <t xml:space="preserve">poblacion_2021</t>
  </si>
  <si>
    <t xml:space="preserve">t_pop</t>
  </si>
  <si>
    <t xml:space="preserve">Población residente total del distrito en el Censo 2021.</t>
  </si>
  <si>
    <t xml:space="preserve">personas</t>
  </si>
  <si>
    <t xml:space="preserve">235953</t>
  </si>
  <si>
    <t xml:space="preserve">166.695 a 692.806</t>
  </si>
  <si>
    <t xml:space="preserve">Copiado de curated/demografia/distritos_censo2021.csv (unión por codigo). Origen: Renombrado; descarga vía WFS CSDI.</t>
  </si>
  <si>
    <t xml:space="preserve">¿Cuánta gente vive en cada distrito? (Wiki 1)</t>
  </si>
  <si>
    <t xml:space="preserve">hogares_2021</t>
  </si>
  <si>
    <t xml:space="preserve">dh</t>
  </si>
  <si>
    <t xml:space="preserve">Número de hogares domésticos en 2021.</t>
  </si>
  <si>
    <t xml:space="preserve">hogares</t>
  </si>
  <si>
    <t xml:space="preserve">88922</t>
  </si>
  <si>
    <t xml:space="preserve">63.128 a 247.592</t>
  </si>
  <si>
    <t xml:space="preserve">Copiado de curated/demografia/distritos_censo2021.csv (unión por codigo). Origen: Renombrado.</t>
  </si>
  <si>
    <t xml:space="preserve">¿Cuántos hogares hay por distrito?</t>
  </si>
  <si>
    <t xml:space="preserve">tamano_medio_hogar</t>
  </si>
  <si>
    <t xml:space="preserve">adhz</t>
  </si>
  <si>
    <t xml:space="preserve">Promedio de personas por hogar doméstico.</t>
  </si>
  <si>
    <t xml:space="preserve">personas/hogar</t>
  </si>
  <si>
    <t xml:space="preserve">2.6</t>
  </si>
  <si>
    <t xml:space="preserve">2.5 a 2.9</t>
  </si>
  <si>
    <t xml:space="preserve">¿Dónde viven hogares más grandes o más pequeños? (Wiki 2.8)</t>
  </si>
  <si>
    <t xml:space="preserve">edad_mediana</t>
  </si>
  <si>
    <t xml:space="preserve">t_ma (Censo 2021 (DC_21C)) / lbnp_ma_t (Encuesta General de Hogares (DC_GHS))</t>
  </si>
  <si>
    <t xml:space="preserve">Edad que divide a la población en dos mitades.</t>
  </si>
  <si>
    <t xml:space="preserve">años</t>
  </si>
  <si>
    <t xml:space="preserve">44.8</t>
  </si>
  <si>
    <t xml:space="preserve">42.7 a 50.1</t>
  </si>
  <si>
    <t xml:space="preserve">Copiado de curated/demografia/distritos_censo2021.csv (unión por codigo). Origen: Renombrado; en el panel GHS la fuente la publica redondeada a entero.</t>
  </si>
  <si>
    <t xml:space="preserve">¿Qué distritos están más envejecidos? (Wiki 1.3)</t>
  </si>
  <si>
    <t xml:space="preserve">razon_sexos_hombres_por_1000_mujeres</t>
  </si>
  <si>
    <t xml:space="preserve">sr</t>
  </si>
  <si>
    <t xml:space="preserve">Hombres por cada 1.000 mujeres (incluye empleadas domésticas extranjeras).</t>
  </si>
  <si>
    <t xml:space="preserve">hombres por 1.000 mujeres</t>
  </si>
  <si>
    <t xml:space="preserve">714</t>
  </si>
  <si>
    <t xml:space="preserve">673 a 902</t>
  </si>
  <si>
    <t xml:space="preserve">¿Cuál es el balance entre hombres y mujeres? (Wiki 1.3)</t>
  </si>
  <si>
    <t xml:space="preserve">pob_0_14</t>
  </si>
  <si>
    <t xml:space="preserve">age_1</t>
  </si>
  <si>
    <t xml:space="preserve">Población de 0 a 14 años.</t>
  </si>
  <si>
    <t xml:space="preserve">24382</t>
  </si>
  <si>
    <t xml:space="preserve">16.917 a 78.886</t>
  </si>
  <si>
    <t xml:space="preserve">Copiado de curated/demografia/distritos_censo2021.csv (unión por codigo). Origen: Renombrado; validado: la suma de los 5 grupos = t_pop.</t>
  </si>
  <si>
    <t xml:space="preserve">¿Cuántos niños hay por distrito? (Wiki 1.3, 1.10)</t>
  </si>
  <si>
    <t xml:space="preserve">pob_15_24</t>
  </si>
  <si>
    <t xml:space="preserve">age_2</t>
  </si>
  <si>
    <t xml:space="preserve">Población de 15 a 24 años.</t>
  </si>
  <si>
    <t xml:space="preserve">16779</t>
  </si>
  <si>
    <t xml:space="preserve">9.907 a 60.321</t>
  </si>
  <si>
    <t xml:space="preserve">¿Cuántos jóvenes hay por distrito?</t>
  </si>
  <si>
    <t xml:space="preserve">pob_25_44</t>
  </si>
  <si>
    <t xml:space="preserve">age_3</t>
  </si>
  <si>
    <t xml:space="preserve">Población de 25 a 44 años.</t>
  </si>
  <si>
    <t xml:space="preserve">77767</t>
  </si>
  <si>
    <t xml:space="preserve">53.860 a 211.376</t>
  </si>
  <si>
    <t xml:space="preserve">¿Dónde se concentra la población adulta joven?</t>
  </si>
  <si>
    <t xml:space="preserve">pob_45_64</t>
  </si>
  <si>
    <t xml:space="preserve">age_4</t>
  </si>
  <si>
    <t xml:space="preserve">Población de 45 a 64 años.</t>
  </si>
  <si>
    <t xml:space="preserve">71534</t>
  </si>
  <si>
    <t xml:space="preserve">50.632 a 220.703</t>
  </si>
  <si>
    <t xml:space="preserve">¿Dónde se concentra la población adulta mayor?</t>
  </si>
  <si>
    <t xml:space="preserve">pob_65_mas</t>
  </si>
  <si>
    <t xml:space="preserve">age_5</t>
  </si>
  <si>
    <t xml:space="preserve">Población de 65 años o más.</t>
  </si>
  <si>
    <t xml:space="preserve">45491</t>
  </si>
  <si>
    <t xml:space="preserve">27.296 a 147.741</t>
  </si>
  <si>
    <t xml:space="preserve">¿Cuántas personas mayores hay por distrito? (Wiki 1.3)</t>
  </si>
  <si>
    <t xml:space="preserve">pct_0_14</t>
  </si>
  <si>
    <t xml:space="preserve">Porcentaje de la población con 0–14 años.</t>
  </si>
  <si>
    <t xml:space="preserve">%</t>
  </si>
  <si>
    <t xml:space="preserve">10.33</t>
  </si>
  <si>
    <t xml:space="preserve">8.92 a 12.83</t>
  </si>
  <si>
    <t xml:space="preserve">Copiado de curated/demografia/distritos_censo2021.csv (unión por codigo). Origen: 100 × age_1 / t_pop, 2 decimales.</t>
  </si>
  <si>
    <t xml:space="preserve">¿Qué distritos tienen más peso de niños? (Wiki 1.10)</t>
  </si>
  <si>
    <t xml:space="preserve">pct_15_24</t>
  </si>
  <si>
    <t xml:space="preserve">Porcentaje de la población con 15–24 años.</t>
  </si>
  <si>
    <t xml:space="preserve">7.11</t>
  </si>
  <si>
    <t xml:space="preserve">5.94 a 9.07</t>
  </si>
  <si>
    <t xml:space="preserve">Copiado de curated/demografia/distritos_censo2021.csv (unión por codigo). Origen: 100 × age_2 / t_pop.</t>
  </si>
  <si>
    <t xml:space="preserve">¿Qué peso tienen los jóvenes en cada distrito?</t>
  </si>
  <si>
    <t xml:space="preserve">pct_25_44</t>
  </si>
  <si>
    <t xml:space="preserve">Porcentaje de la población con 25–44 años.</t>
  </si>
  <si>
    <t xml:space="preserve">32.96</t>
  </si>
  <si>
    <t xml:space="preserve">25.41 a 32.96</t>
  </si>
  <si>
    <t xml:space="preserve">Copiado de curated/demografia/distritos_censo2021.csv (unión por codigo). Origen: 100 × age_3 / t_pop.</t>
  </si>
  <si>
    <t xml:space="preserve">¿Qué peso tiene la población adulta joven?</t>
  </si>
  <si>
    <t xml:space="preserve">pct_45_64</t>
  </si>
  <si>
    <t xml:space="preserve">Porcentaje de la población con 45–64 años.</t>
  </si>
  <si>
    <t xml:space="preserve">30.32</t>
  </si>
  <si>
    <t xml:space="preserve">30.32 a 34.49</t>
  </si>
  <si>
    <t xml:space="preserve">Copiado de curated/demografia/distritos_censo2021.csv (unión por codigo). Origen: 100 × age_4 / t_pop.</t>
  </si>
  <si>
    <t xml:space="preserve">¿Qué peso tiene la población adulta mayor?</t>
  </si>
  <si>
    <t xml:space="preserve">pct_65_mas</t>
  </si>
  <si>
    <t xml:space="preserve">Porcentaje de la población con 65 años o más.</t>
  </si>
  <si>
    <t xml:space="preserve">19.28</t>
  </si>
  <si>
    <t xml:space="preserve">14.73 a 23.36</t>
  </si>
  <si>
    <t xml:space="preserve">Copiado de curated/demografia/distritos_censo2021.csv (unión por codigo). Origen: 100 × age_5 / t_pop, 2 decimales.</t>
  </si>
  <si>
    <t xml:space="preserve">indice_envejecimiento</t>
  </si>
  <si>
    <t xml:space="preserve">Personas de 65+ por cada 100 menores de 15 años.</t>
  </si>
  <si>
    <t xml:space="preserve">personas 65+ por 100 de 0–14</t>
  </si>
  <si>
    <t xml:space="preserve">186.6</t>
  </si>
  <si>
    <t xml:space="preserve">114.8 a 257.5</t>
  </si>
  <si>
    <t xml:space="preserve">Copiado de curated/demografia/distritos_censo2021.csv (unión por codigo). Origen: 100 × age_5 / age_1.</t>
  </si>
  <si>
    <t xml:space="preserve">¿Dónde hay más mayores que niños? (Wiki 1.3)</t>
  </si>
  <si>
    <t xml:space="preserve">pob_15_mas_con_titulo_universitario</t>
  </si>
  <si>
    <t xml:space="preserve">edu_deg</t>
  </si>
  <si>
    <t xml:space="preserve">Personas de 15+ cuyo nivel más alto es título universitario (grado).</t>
  </si>
  <si>
    <t xml:space="preserve">89251</t>
  </si>
  <si>
    <t xml:space="preserve">43.705 a 154.778</t>
  </si>
  <si>
    <t xml:space="preserve">Copiado de curated/demografia/distritos_censo2021.csv (unión por codigo). Origen: Renombrado. No incluye educación superior no universitaria.</t>
  </si>
  <si>
    <t xml:space="preserve">¿Cuánta población tiene educación universitaria? (Wiki 1.6)</t>
  </si>
  <si>
    <t xml:space="preserve">pct_titulo_universitario_15_mas</t>
  </si>
  <si>
    <t xml:space="preserve">Porcentaje de la población de 15+ con título universitario.</t>
  </si>
  <si>
    <t xml:space="preserve">42.18</t>
  </si>
  <si>
    <t xml:space="preserve">16.42 a 42.43</t>
  </si>
  <si>
    <t xml:space="preserve">Copiado de curated/demografia/distritos_censo2021.csv (unión por codigo). Origen: 100 × edu_deg / (t_pop − age_1).</t>
  </si>
  <si>
    <t xml:space="preserve">¿Qué distritos tienen más capital humano? (Wiki 1.6)</t>
  </si>
  <si>
    <t xml:space="preserve">pob_nacida_en_hk</t>
  </si>
  <si>
    <t xml:space="preserve">born_hk</t>
  </si>
  <si>
    <t xml:space="preserve">Personas nacidas en Hong Kong.</t>
  </si>
  <si>
    <t xml:space="preserve">126335</t>
  </si>
  <si>
    <t xml:space="preserve">91.997 a 453.024</t>
  </si>
  <si>
    <t xml:space="preserve">¿Dónde vive más población local vs. migrante? (Wiki 1.9)</t>
  </si>
  <si>
    <t xml:space="preserve">pct_nacida_en_hk</t>
  </si>
  <si>
    <t xml:space="preserve">Porcentaje de la población nacida en Hong Kong.</t>
  </si>
  <si>
    <t xml:space="preserve">53.54</t>
  </si>
  <si>
    <t xml:space="preserve">52.55 a 68.56</t>
  </si>
  <si>
    <t xml:space="preserve">Copiado de curated/demografia/distritos_censo2021.csv (unión por codigo). Origen: 100 × born_hk / t_pop.</t>
  </si>
  <si>
    <t xml:space="preserve">¿Qué distritos tienen más población nacida fuera? (Wiki 1.9)</t>
  </si>
  <si>
    <t xml:space="preserve">pob_vivienda_publica_alquiler</t>
  </si>
  <si>
    <t xml:space="preserve">pop_pub</t>
  </si>
  <si>
    <t xml:space="preserve">Personas que viven en vivienda pública de alquiler (PRH).</t>
  </si>
  <si>
    <t xml:space="preserve">8194</t>
  </si>
  <si>
    <t xml:space="preserve">6.221 a 387.749</t>
  </si>
  <si>
    <t xml:space="preserve">Copiado de curated/demografia/distritos_censo2021.csv (unión por codigo). Origen: Renombrado; validado: suma de tipos = t_pop.</t>
  </si>
  <si>
    <t xml:space="preserve">¿Cuánta gente depende de vivienda pública? (Wiki 2.4)</t>
  </si>
  <si>
    <t xml:space="preserve">pob_vivienda_subsidiada_venta</t>
  </si>
  <si>
    <t xml:space="preserve">pop_s</t>
  </si>
  <si>
    <t xml:space="preserve">Personas que viven en vivienda subsidiada en propiedad (HOS y similares).</t>
  </si>
  <si>
    <t xml:space="preserve">0 a 172.809</t>
  </si>
  <si>
    <t xml:space="preserve">Copiado de curated/demografia/distritos_censo2021.csv (unión por codigo). Origen: Renombrado; el guion '-' de la fuente se convirtió en 0.</t>
  </si>
  <si>
    <t xml:space="preserve">¿Cuánta gente vive en vivienda subsidiada? (Wiki 2.4)</t>
  </si>
  <si>
    <t xml:space="preserve">pob_vivienda_privada</t>
  </si>
  <si>
    <t xml:space="preserve">pop_pri</t>
  </si>
  <si>
    <t xml:space="preserve">Personas que viven en vivienda privada permanente.</t>
  </si>
  <si>
    <t xml:space="preserve">222924</t>
  </si>
  <si>
    <t xml:space="preserve">76.904 a 375.243</t>
  </si>
  <si>
    <t xml:space="preserve">¿Cuánta gente vive en vivienda privada? (Wiki 2.4)</t>
  </si>
  <si>
    <t xml:space="preserve">pob_vivienda_temporal</t>
  </si>
  <si>
    <t xml:space="preserve">pop_tem</t>
  </si>
  <si>
    <t xml:space="preserve">Personas que viven en vivienda temporal.</t>
  </si>
  <si>
    <t xml:space="preserve">138</t>
  </si>
  <si>
    <t xml:space="preserve">116 a 16.408</t>
  </si>
  <si>
    <t xml:space="preserve">¿Dónde persiste la vivienda temporal? (Wiki 2.7)</t>
  </si>
  <si>
    <t xml:space="preserve">pob_no_domestica</t>
  </si>
  <si>
    <t xml:space="preserve">pop_non</t>
  </si>
  <si>
    <t xml:space="preserve">Personas en alojamientos no domésticos (residencias, instituciones).</t>
  </si>
  <si>
    <t xml:space="preserve">4697</t>
  </si>
  <si>
    <t xml:space="preserve">1.632 a 9.894</t>
  </si>
  <si>
    <t xml:space="preserve">¿Cuánta población vive fuera de hogares domésticos? (Wiki 2.4)</t>
  </si>
  <si>
    <t xml:space="preserve">pct_vivienda_publica_alquiler</t>
  </si>
  <si>
    <t xml:space="preserve">Porcentaje de la población en vivienda pública de alquiler.</t>
  </si>
  <si>
    <t xml:space="preserve">3.47</t>
  </si>
  <si>
    <t xml:space="preserve">2.98 a 57.6</t>
  </si>
  <si>
    <t xml:space="preserve">Copiado de curated/demografia/distritos_censo2021.csv (unión por codigo). Origen: 100 × pop_pub / t_pop.</t>
  </si>
  <si>
    <t xml:space="preserve">¿Qué distritos dependen más de la vivienda pública? (Wiki 2.4, 2.5)</t>
  </si>
  <si>
    <t xml:space="preserve">pct_vivienda_subsidiada_venta</t>
  </si>
  <si>
    <t xml:space="preserve">Porcentaje de la población en vivienda subsidiada en propiedad.</t>
  </si>
  <si>
    <t xml:space="preserve">0 a 30.96</t>
  </si>
  <si>
    <t xml:space="preserve">Copiado de curated/demografia/distritos_censo2021.csv (unión por codigo). Origen: 100 × pop_s / t_pop.</t>
  </si>
  <si>
    <t xml:space="preserve">¿Dónde pesa más la vivienda subsidiada? (Wiki 2.4)</t>
  </si>
  <si>
    <t xml:space="preserve">pct_vivienda_privada</t>
  </si>
  <si>
    <t xml:space="preserve">Porcentaje de la población en vivienda privada permanente.</t>
  </si>
  <si>
    <t xml:space="preserve">94.48</t>
  </si>
  <si>
    <t xml:space="preserve">18.9 a 95.22</t>
  </si>
  <si>
    <t xml:space="preserve">Copiado de curated/demografia/distritos_censo2021.csv (unión por codigo). Origen: 100 × pop_pri / t_pop.</t>
  </si>
  <si>
    <t xml:space="preserve">¿Dónde domina el mercado privado de vivienda? (Wiki 2.4)</t>
  </si>
  <si>
    <t xml:space="preserve">F02; F04</t>
  </si>
  <si>
    <t xml:space="preserve">densidad_hab_km2</t>
  </si>
  <si>
    <t xml:space="preserve">Habitantes por kilómetro cuadrado de tierra.</t>
  </si>
  <si>
    <t xml:space="preserve">hab/km²</t>
  </si>
  <si>
    <t xml:space="preserve">18801</t>
  </si>
  <si>
    <t xml:space="preserve">1,014 a 5.968e+04</t>
  </si>
  <si>
    <t xml:space="preserve">Copiado de curated/demografia/distritos_censo2021.csv (unión por codigo). Origen: poblacion_2021 / area_km2_oficial, redondeado a entero.</t>
  </si>
  <si>
    <t xml:space="preserve">¿Qué tan denso es cada distrito? (Wiki 1.2)</t>
  </si>
  <si>
    <t xml:space="preserve">poblacion_2025</t>
  </si>
  <si>
    <t xml:space="preserve">my_lp (year=2025)</t>
  </si>
  <si>
    <t xml:space="preserve">Población terrestre a mitad de 2025 según la Encuesta General de Hogares.</t>
  </si>
  <si>
    <t xml:space="preserve">231900</t>
  </si>
  <si>
    <t xml:space="preserve">163.000 a 692.400</t>
  </si>
  <si>
    <t xml:space="preserve">Copiado de curated/demografia/distritos_censo2021.csv (unión por codigo). Origen: Filtrado al último año y unido por código.</t>
  </si>
  <si>
    <t xml:space="preserve">¿Cuánta gente vive hoy en cada distrito? (Wiki 1)</t>
  </si>
  <si>
    <t xml:space="preserve">var_pob_2016_2025_pct</t>
  </si>
  <si>
    <t xml:space="preserve">(calculado de my_lp)</t>
  </si>
  <si>
    <t xml:space="preserve">Variación porcentual de la población terrestre entre 2016 y 2025.</t>
  </si>
  <si>
    <t xml:space="preserve">-4.69</t>
  </si>
  <si>
    <t xml:space="preserve">-12.07 a 26.53</t>
  </si>
  <si>
    <t xml:space="preserve">Copiado de curated/demografia/distritos_censo2021.csv (unión por codigo). Origen: 100 × (my_lp 2025 / my_lp 2016 − 1).</t>
  </si>
  <si>
    <t xml:space="preserve">¿Qué distritos crecen y cuáles pierden población? (Wiki 1.1, 1.9)</t>
  </si>
  <si>
    <t xml:space="preserve">ingreso_mediano_hogar_hkd_2021</t>
  </si>
  <si>
    <t xml:space="preserve">ma_hh</t>
  </si>
  <si>
    <t xml:space="preserve">Ingreso mensual mediano de los hogares domésticos en 2021.</t>
  </si>
  <si>
    <t xml:space="preserve">HK$ por mes</t>
  </si>
  <si>
    <t xml:space="preserve">45040</t>
  </si>
  <si>
    <t xml:space="preserve">21.490 a 45.040</t>
  </si>
  <si>
    <t xml:space="preserve">Copiado de curated/economia/distritos_economia.csv (unión por codigo). Origen: Renombrado.</t>
  </si>
  <si>
    <t xml:space="preserve">¿Qué distritos son más ricos o más pobres? (Wiki 1.7)</t>
  </si>
  <si>
    <t xml:space="preserve">ingreso_mediano_hogar_econ_activo_hkd_2021</t>
  </si>
  <si>
    <t xml:space="preserve">ma_econhh</t>
  </si>
  <si>
    <t xml:space="preserve">Ingreso mensual mediano de hogares con al menos un miembro económicamente activo (2021).</t>
  </si>
  <si>
    <t xml:space="preserve">57350</t>
  </si>
  <si>
    <t xml:space="preserve">28.540 a 60.070</t>
  </si>
  <si>
    <t xml:space="preserve">¿Cómo cambia la brecha de ingreso al excluir hogares sin trabajadores? (Wiki 1.7)</t>
  </si>
  <si>
    <t xml:space="preserve">ingreso_mediano_mensual_empleo_hkd_2021</t>
  </si>
  <si>
    <t xml:space="preserve">t_mmearn</t>
  </si>
  <si>
    <t xml:space="preserve">Ingreso mensual mediano por empleo principal de la población ocupada (2021).</t>
  </si>
  <si>
    <t xml:space="preserve">21250</t>
  </si>
  <si>
    <t xml:space="preserve">16.000 a 21.250</t>
  </si>
  <si>
    <t xml:space="preserve">¿Cuánto gana un trabajador típico de cada distrito? (Wiki 1.7)</t>
  </si>
  <si>
    <t xml:space="preserve">tasa_participacion_laboral_pct_2021</t>
  </si>
  <si>
    <t xml:space="preserve">lfpr_t</t>
  </si>
  <si>
    <t xml:space="preserve">Porcentaje de la población de 15+ que trabaja o busca trabajo (2021).</t>
  </si>
  <si>
    <t xml:space="preserve">65.3</t>
  </si>
  <si>
    <t xml:space="preserve">56.4 a 65.3</t>
  </si>
  <si>
    <t xml:space="preserve">¿Qué tan activa es la población en el mercado laboral?</t>
  </si>
  <si>
    <t xml:space="preserve">fuerza_laboral_2021</t>
  </si>
  <si>
    <t xml:space="preserve">t_lf</t>
  </si>
  <si>
    <t xml:space="preserve">Personas en la fuerza laboral (ocupadas + desocupadas) en 2021.</t>
  </si>
  <si>
    <t xml:space="preserve">138216</t>
  </si>
  <si>
    <t xml:space="preserve">95.914 a 363.268</t>
  </si>
  <si>
    <t xml:space="preserve">¿Cuánta fuerza laboral tiene cada distrito?</t>
  </si>
  <si>
    <t xml:space="preserve">poblacion_ocupada_2021</t>
  </si>
  <si>
    <t xml:space="preserve">t_wp</t>
  </si>
  <si>
    <t xml:space="preserve">Personas ocupadas residentes en el distrito en 2021.</t>
  </si>
  <si>
    <t xml:space="preserve">132881</t>
  </si>
  <si>
    <t xml:space="preserve">92.238 a 340.605</t>
  </si>
  <si>
    <t xml:space="preserve">¿Cuántos trabajadores residen en cada distrito?</t>
  </si>
  <si>
    <t xml:space="preserve">tasa_ocupacion_sobre_fuerza_laboral_pct</t>
  </si>
  <si>
    <t xml:space="preserve">Porcentaje de la fuerza laboral que está ocupada (100 − desempleo aproximado).</t>
  </si>
  <si>
    <t xml:space="preserve">96.14</t>
  </si>
  <si>
    <t xml:space="preserve">91.68 a 96.17</t>
  </si>
  <si>
    <t xml:space="preserve">Copiado de curated/economia/distritos_economia.csv (unión por codigo). Origen: 100 × t_wp / t_lf.</t>
  </si>
  <si>
    <t xml:space="preserve">¿Dónde es mayor el desempleo relativo?</t>
  </si>
  <si>
    <t xml:space="preserve">ingreso_mediano_hogar_hkd_2025</t>
  </si>
  <si>
    <t xml:space="preserve">ma_hh (year=2025)</t>
  </si>
  <si>
    <t xml:space="preserve">Ingreso mensual mediano de los hogares domésticos en 2025.</t>
  </si>
  <si>
    <t xml:space="preserve">45000</t>
  </si>
  <si>
    <t xml:space="preserve">24.900 a 45.000</t>
  </si>
  <si>
    <t xml:space="preserve">Copiado de curated/economia/distritos_economia.csv (unión por codigo). Origen: Filtrado al último año del panel GHS.</t>
  </si>
  <si>
    <t xml:space="preserve">¿Qué distritos tienen menor ingreso hoy? (Wiki 1.7)</t>
  </si>
  <si>
    <t xml:space="preserve">tasa_participacion_laboral_pct_2025</t>
  </si>
  <si>
    <t xml:space="preserve">t_lfpr (year=2025)</t>
  </si>
  <si>
    <t xml:space="preserve">Tasa de participación laboral en 2025.</t>
  </si>
  <si>
    <t xml:space="preserve">60.1</t>
  </si>
  <si>
    <t xml:space="preserve">52.7 a 62.7</t>
  </si>
  <si>
    <t xml:space="preserve">¿Cómo está hoy la participación laboral por distrito?</t>
  </si>
  <si>
    <t xml:space="preserve">var_ingreso_2016_2025_pct</t>
  </si>
  <si>
    <t xml:space="preserve">(calculado de ma_hh)</t>
  </si>
  <si>
    <t xml:space="preserve">Variación porcentual nominal del ingreso mediano del hogar entre 2016 y 2025.</t>
  </si>
  <si>
    <t xml:space="preserve">13.92</t>
  </si>
  <si>
    <t xml:space="preserve">6.71 a 31.58</t>
  </si>
  <si>
    <t xml:space="preserve">Copiado de curated/economia/distritos_economia.csv (unión por codigo). Origen: 100 × (ma_hh 2025 / ma_hh 2016 − 1); no ajustado por inflación.</t>
  </si>
  <si>
    <t xml:space="preserve">¿Dónde creció más el ingreso? (Wiki 1.7)</t>
  </si>
  <si>
    <t xml:space="preserve">indice_ingreso_vs_mediana_distritos</t>
  </si>
  <si>
    <t xml:space="preserve">Ingreso mediano del hogar 2025 relativo a la mediana de los 18 distritos (=100).</t>
  </si>
  <si>
    <t xml:space="preserve">índice (mediana = 100)</t>
  </si>
  <si>
    <t xml:space="preserve">145.2</t>
  </si>
  <si>
    <t xml:space="preserve">80.3 a 145.2</t>
  </si>
  <si>
    <t xml:space="preserve">Copiado de curated/economia/distritos_economia.csv (unión por codigo). Origen: 100 × ingreso 2025 / mediana de los 18 valores.</t>
  </si>
  <si>
    <t xml:space="preserve">¿Qué tan por encima o debajo del típico está cada distrito?</t>
  </si>
  <si>
    <t xml:space="preserve">676</t>
  </si>
  <si>
    <t xml:space="preserve">461 a 1.446</t>
  </si>
  <si>
    <t xml:space="preserve">Copiado de curated/infraestructura/distritos_infraestructura.csv (unión por codigo). Origen: Conteo de paradas por código de distrito o DCCA.</t>
  </si>
  <si>
    <t xml:space="preserve">paradas_bus</t>
  </si>
  <si>
    <t xml:space="preserve">Paradas servidas por bus.</t>
  </si>
  <si>
    <t xml:space="preserve">664</t>
  </si>
  <si>
    <t xml:space="preserve">448 a 1.416</t>
  </si>
  <si>
    <t xml:space="preserve">Copiado de curated/infraestructura/distritos_infraestructura.csv (unión por codigo). Origen: Conteo de paradas cuyo campo modos contiene 'bus'.</t>
  </si>
  <si>
    <t xml:space="preserve">¿Dónde hay más cobertura de bus?</t>
  </si>
  <si>
    <t xml:space="preserve">paradas_minibus</t>
  </si>
  <si>
    <t xml:space="preserve">Paradas servidas por minibús verde (GMB).</t>
  </si>
  <si>
    <t xml:space="preserve">198</t>
  </si>
  <si>
    <t xml:space="preserve">18 a 580</t>
  </si>
  <si>
    <t xml:space="preserve">Copiado de curated/infraestructura/distritos_infraestructura.csv (unión por codigo). Origen: Conteo de paradas con modo 'minibus'.</t>
  </si>
  <si>
    <t xml:space="preserve">¿Dónde depende la gente del minibús?</t>
  </si>
  <si>
    <t xml:space="preserve">paradas_metro_mtr</t>
  </si>
  <si>
    <t xml:space="preserve">Estaciones del MTR (ferrocarril pesado).</t>
  </si>
  <si>
    <t xml:space="preserve">7</t>
  </si>
  <si>
    <t xml:space="preserve">2 a 13</t>
  </si>
  <si>
    <t xml:space="preserve">Copiado de curated/infraestructura/distritos_infraestructura.csv (unión por codigo). Origen: Conteo de paradas con modo 'metro_mtr'.</t>
  </si>
  <si>
    <t xml:space="preserve">¿Qué distritos tienen más acceso al metro?</t>
  </si>
  <si>
    <t xml:space="preserve">paradas_tren_ligero</t>
  </si>
  <si>
    <t xml:space="preserve">Paradas del tren ligero (Light Rail).</t>
  </si>
  <si>
    <t xml:space="preserve">0 a 55</t>
  </si>
  <si>
    <t xml:space="preserve">Copiado de curated/infraestructura/distritos_infraestructura.csv (unión por codigo). Origen: Conteo de paradas con modo 'tren_ligero'.</t>
  </si>
  <si>
    <t xml:space="preserve">¿Dónde opera el tren ligero?</t>
  </si>
  <si>
    <t xml:space="preserve">paradas_ferry</t>
  </si>
  <si>
    <t xml:space="preserve">Muelles servidos por ferris.</t>
  </si>
  <si>
    <t xml:space="preserve">muelles</t>
  </si>
  <si>
    <t xml:space="preserve">5</t>
  </si>
  <si>
    <t xml:space="preserve">0 a 10</t>
  </si>
  <si>
    <t xml:space="preserve">Copiado de curated/infraestructura/distritos_infraestructura.csv (unión por codigo). Origen: Conteo de paradas con modo 'ferry'.</t>
  </si>
  <si>
    <t xml:space="preserve">¿Qué zonas dependen del ferry?</t>
  </si>
  <si>
    <t xml:space="preserve">hospitales_urgencias</t>
  </si>
  <si>
    <t xml:space="preserve">Hospitales públicos con urgencias ubicados en el distrito.</t>
  </si>
  <si>
    <t xml:space="preserve">Copiado de curated/infraestructura/distritos_infraestructura.csv (unión por codigo). Origen: Conteo tras unión espacial de hospitales a distritos.</t>
  </si>
  <si>
    <t xml:space="preserve">¿Cuántas urgencias hay en cada distrito? (Wiki 1.8)</t>
  </si>
  <si>
    <t xml:space="preserve">rutas_distintas</t>
  </si>
  <si>
    <t xml:space="preserve">Número de rutas distintas que tocan al menos una parada del distrito.</t>
  </si>
  <si>
    <t xml:space="preserve">rutas</t>
  </si>
  <si>
    <t xml:space="preserve">333</t>
  </si>
  <si>
    <t xml:space="preserve">135 a 492</t>
  </si>
  <si>
    <t xml:space="preserve">Copiado de curated/infraestructura/distritos_infraestructura.csv (unión por codigo). Origen: Conteo de pares operador:ruta únicos por distrito.</t>
  </si>
  <si>
    <t xml:space="preserve">¿Qué tan conectado está el distrito con el resto de la ciudad?</t>
  </si>
  <si>
    <t xml:space="preserve">F05; F04</t>
  </si>
  <si>
    <t xml:space="preserve">paradas_por_km2</t>
  </si>
  <si>
    <t xml:space="preserve">Paradas de transporte por km² de tierra.</t>
  </si>
  <si>
    <t xml:space="preserve">53.86</t>
  </si>
  <si>
    <t xml:space="preserve">2.52 a 122.8</t>
  </si>
  <si>
    <t xml:space="preserve">Copiado de curated/infraestructura/distritos_infraestructura.csv (unión por codigo). Origen: paradas_transporte / area_km2_oficial.</t>
  </si>
  <si>
    <t xml:space="preserve">¿Dónde es más densa la red de transporte?</t>
  </si>
  <si>
    <t xml:space="preserve">F05; F02</t>
  </si>
  <si>
    <t xml:space="preserve">paradas_por_10k_hab</t>
  </si>
  <si>
    <t xml:space="preserve">Paradas de transporte por cada 10.000 habitantes.</t>
  </si>
  <si>
    <t xml:space="preserve">paradas por 10.000 hab</t>
  </si>
  <si>
    <t xml:space="preserve">28.65</t>
  </si>
  <si>
    <t xml:space="preserve">15.41 a 37.61</t>
  </si>
  <si>
    <t xml:space="preserve">Copiado de curated/infraestructura/distritos_infraestructura.csv (unión por codigo). Origen: 10.000 × paradas_transporte / poblacion_2021.</t>
  </si>
  <si>
    <t xml:space="preserve">¿Qué distritos tienen menos transporte por habitante?</t>
  </si>
  <si>
    <t xml:space="preserve">F06; F02</t>
  </si>
  <si>
    <t xml:space="preserve">hab_por_hospital_urgencias</t>
  </si>
  <si>
    <t xml:space="preserve">Habitantes por cada hospital con urgencias dentro del distrito.</t>
  </si>
  <si>
    <t xml:space="preserve">hab/hospital</t>
  </si>
  <si>
    <t xml:space="preserve">166695</t>
  </si>
  <si>
    <t xml:space="preserve">92.641 a 692.806</t>
  </si>
  <si>
    <t xml:space="preserve">Copiado de curated/infraestructura/distritos_infraestructura.csv (unión por codigo). Origen: poblacion_2021 / hospitales_urgencias; vacío si el distrito no tiene ninguno.</t>
  </si>
  <si>
    <t xml:space="preserve">¿Qué distritos están más presionados en urgencias? (Wiki 1.8)</t>
  </si>
  <si>
    <t xml:space="preserve">F06; F01</t>
  </si>
  <si>
    <t xml:space="preserve">dist_media_hospital_km</t>
  </si>
  <si>
    <t xml:space="preserve">Distancia media de las circunscripciones del distrito a la urgencia más cercana.</t>
  </si>
  <si>
    <t xml:space="preserve">km</t>
  </si>
  <si>
    <t xml:space="preserve">2.23</t>
  </si>
  <si>
    <t xml:space="preserve">0.89 a 3.74</t>
  </si>
  <si>
    <t xml:space="preserve">Copiado de curated/infraestructura/distritos_infraestructura.csv (unión por codigo). Origen: Promedio por distrito de distancia_hospital_m / 1000.</t>
  </si>
  <si>
    <t xml:space="preserve">¿Qué distritos tienen peor acceso a urgencias? (Wiki 1.8)</t>
  </si>
  <si>
    <t xml:space="preserve">F07; F09</t>
  </si>
  <si>
    <t xml:space="preserve">estaciones_meteorologicas</t>
  </si>
  <si>
    <t xml:space="preserve">Estaciones del Observatorio ubicadas en el distrito.</t>
  </si>
  <si>
    <t xml:space="preserve">4</t>
  </si>
  <si>
    <t xml:space="preserve">1 a 17</t>
  </si>
  <si>
    <t xml:space="preserve">Copiado de curated/sensores/distritos_sensores.csv (unión por codigo). Origen: Conteo tras unión espacial.</t>
  </si>
  <si>
    <t xml:space="preserve">¿Qué tan monitoreado está el clima en cada distrito?</t>
  </si>
  <si>
    <t xml:space="preserve">estaciones_calidad_aire</t>
  </si>
  <si>
    <t xml:space="preserve">Estaciones de calidad del aire asignadas al distrito.</t>
  </si>
  <si>
    <t xml:space="preserve">2</t>
  </si>
  <si>
    <t xml:space="preserve">Copiado de curated/sensores/distritos_sensores.csv (unión por codigo). Origen: Conteo por distrito asignado.</t>
  </si>
  <si>
    <t xml:space="preserve">¿Qué distritos tienen medición de calidad del aire?</t>
  </si>
  <si>
    <t xml:space="preserve">aqhi_ultimo</t>
  </si>
  <si>
    <t xml:space="preserve">(calculado de AQHI)</t>
  </si>
  <si>
    <t xml:space="preserve">AQHI promedio de las estaciones generales del distrito en la última captura.</t>
  </si>
  <si>
    <t xml:space="preserve">índice 1–10+</t>
  </si>
  <si>
    <t xml:space="preserve">2 a 3</t>
  </si>
  <si>
    <t xml:space="preserve">Copiado de curated/sensores/distritos_sensores.csv (unión por codigo). Origen: Promedio de estaciones tipo general; vacío si el distrito no tiene estación.</t>
  </si>
  <si>
    <t xml:space="preserve">¿Qué distritos tienen peor aire ahora?</t>
  </si>
  <si>
    <t xml:space="preserve">F16; F17</t>
  </si>
  <si>
    <t xml:space="preserve">menciones_noticias</t>
  </si>
  <si>
    <t xml:space="preserve">Número de titulares que mencionan el distrito.</t>
  </si>
  <si>
    <t xml:space="preserve">titulares</t>
  </si>
  <si>
    <t xml:space="preserve">0 a 5</t>
  </si>
  <si>
    <t xml:space="preserve">Copiado de curated/escucha/menciones_por_distrito.csv (unión por codigo). Origen: Conteo de códigos en distritos_mencionados.</t>
  </si>
  <si>
    <t xml:space="preserve">¿Qué distritos concentran la atención mediática?</t>
  </si>
  <si>
    <t xml:space="preserve">area_km2_oficial</t>
  </si>
  <si>
    <t xml:space="preserve">Area (km²)</t>
  </si>
  <si>
    <t xml:space="preserve">Superficie terrestre oficial del distrito.</t>
  </si>
  <si>
    <t xml:space="preserve">12.55</t>
  </si>
  <si>
    <t xml:space="preserve">6.99 a 182.7</t>
  </si>
  <si>
    <t xml:space="preserve">Copiado de curated/geo/distritos.csv (unión por codigo). Origen: Copiado; unido por nombre inglés del distrito.</t>
  </si>
  <si>
    <t xml:space="preserve">¿Cuál es la densidad real de cada distrito? (Wiki 1.2, 6.5)</t>
  </si>
  <si>
    <t xml:space="preserve">centro_lat</t>
  </si>
  <si>
    <t xml:space="preserve">Latitud de un punto representativo interior del distrito (para etiquetas en el mapa).</t>
  </si>
  <si>
    <t xml:space="preserve">22.2749</t>
  </si>
  <si>
    <t xml:space="preserve">22.23 a 22.52</t>
  </si>
  <si>
    <t xml:space="preserve">Copiado de curated/geo/distritos.csv (unión por codigo). Origen: representative_point() del polígono disuelto, reproyectado a WGS84.</t>
  </si>
  <si>
    <t xml:space="preserve">¿Dónde ubicar la etiqueta del distrito en el mapa?</t>
  </si>
  <si>
    <t xml:space="preserve">centro_lon</t>
  </si>
  <si>
    <t xml:space="preserve">Longitud de un punto representativo interior del distrito.</t>
  </si>
  <si>
    <t xml:space="preserve">114.149</t>
  </si>
  <si>
    <t xml:space="preserve">n_circunscripciones</t>
  </si>
  <si>
    <t xml:space="preserve">Número de circunscripciones DCCA 2019 dentro del distrito.</t>
  </si>
  <si>
    <t xml:space="preserve">conteo</t>
  </si>
  <si>
    <t xml:space="preserve">15</t>
  </si>
  <si>
    <t xml:space="preserve">10 a 41</t>
  </si>
  <si>
    <t xml:space="preserve">Copiado de curated/geo/distritos.csv (unión por codigo). Origen: Conteo de DCCA por código de distrito.</t>
  </si>
  <si>
    <t xml:space="preserve">¿Con cuánto detalle territorial se puede analizar cada distrito?</t>
  </si>
  <si>
    <t xml:space="preserve">cluster</t>
  </si>
  <si>
    <t xml:space="preserve">Número de grupo asignado por k-means.</t>
  </si>
  <si>
    <t xml:space="preserve">0 a 3</t>
  </si>
  <si>
    <t xml:space="preserve">K-means (k=4, semilla 42) sobre 6 variables estandarizadas.</t>
  </si>
  <si>
    <t xml:space="preserve">¿Qué distritos se parecen entre sí?</t>
  </si>
  <si>
    <t xml:space="preserve">tipologia</t>
  </si>
  <si>
    <t xml:space="preserve">Nombre descriptivo del tipo de zona.</t>
  </si>
  <si>
    <t xml:space="preserve">Centro financiero de ingreso alto</t>
  </si>
  <si>
    <t xml:space="preserve">Centro financiero de ingreso alto, Núcleo denso de vivienda pública e ingreso bajo, Núcleo urbano denso de clase media, Suburbano de baja densidad</t>
  </si>
  <si>
    <t xml:space="preserve">Nombre asignado según el perfil del centro del grupo (ingreso, vivienda pública, densidad).</t>
  </si>
  <si>
    <t xml:space="preserve">¿Qué tipo de zona es cada distrito?</t>
  </si>
  <si>
    <t xml:space="preserve">indice_prosperidad</t>
  </si>
  <si>
    <t xml:space="preserve">Índice 0–100 que combina ingreso 2025 (60 %) y % universitario (40 %).</t>
  </si>
  <si>
    <t xml:space="preserve">índice 0–100</t>
  </si>
  <si>
    <t xml:space="preserve">100</t>
  </si>
  <si>
    <t xml:space="preserve">0 a 100</t>
  </si>
  <si>
    <t xml:space="preserve">Combinación ponderada normalizada y reescalada min-max entre los 18 distritos.</t>
  </si>
  <si>
    <t xml:space="preserve">¿Qué distritos son más prósperos? (Wiki 1.6, 1.7)</t>
  </si>
  <si>
    <t xml:space="preserve">indice_conectividad</t>
  </si>
  <si>
    <t xml:space="preserve">Índice 0–100 que combina paradas por habitante y cercanía a urgencias.</t>
  </si>
  <si>
    <t xml:space="preserve">54.9</t>
  </si>
  <si>
    <t xml:space="preserve">Suma normalizada de paradas_por_10k_hab y (1 − distancia a urgencias relativa), reescalada min-max.</t>
  </si>
  <si>
    <t xml:space="preserve">¿Qué distritos están mejor conectados y servidos?</t>
  </si>
  <si>
    <t xml:space="preserve">indice_presion_demografica</t>
  </si>
  <si>
    <t xml:space="preserve">Índice 0–100 que combina densidad y % de 65+.</t>
  </si>
  <si>
    <t xml:space="preserve">38.1</t>
  </si>
  <si>
    <t xml:space="preserve">Suma normalizada de densidad y pct_65_mas, reescalada min-max.</t>
  </si>
  <si>
    <t xml:space="preserve">¿Dónde hay más presión sobre servicios por densidad y envejecimiento? (Wiki 1.2, 1.3)</t>
  </si>
  <si>
    <t xml:space="preserve">rank_poblacion_2021</t>
  </si>
  <si>
    <t xml:space="preserve">Posición del distrito por población (1 = mayor).</t>
  </si>
  <si>
    <t xml:space="preserve">posición 1–18</t>
  </si>
  <si>
    <t xml:space="preserve">16</t>
  </si>
  <si>
    <t xml:space="preserve">1 a 18</t>
  </si>
  <si>
    <t xml:space="preserve">Ranking descendente, empates con el menor puesto.</t>
  </si>
  <si>
    <t xml:space="preserve">¿Cuál es el distrito más poblado?</t>
  </si>
  <si>
    <t xml:space="preserve">rank_ingreso_mediano_hogar_hkd_2025</t>
  </si>
  <si>
    <t xml:space="preserve">Posición del distrito por ingreso 2025 (1 = mayor).</t>
  </si>
  <si>
    <t xml:space="preserve">Ranking descendente.</t>
  </si>
  <si>
    <t xml:space="preserve">¿Cuál es el distrito más rico?</t>
  </si>
  <si>
    <t xml:space="preserve">rank_densidad_hab_km2</t>
  </si>
  <si>
    <t xml:space="preserve">Posición del distrito por densidad (1 = mayor).</t>
  </si>
  <si>
    <t xml:space="preserve">8</t>
  </si>
  <si>
    <t xml:space="preserve">¿Cuál es el distrito más denso?</t>
  </si>
  <si>
    <t xml:space="preserve">rank_pct_65_mas</t>
  </si>
  <si>
    <t xml:space="preserve">Posición del distrito por % de 65+ (1 = mayor).</t>
  </si>
  <si>
    <t xml:space="preserve">11</t>
  </si>
  <si>
    <t xml:space="preserve">¿Cuál es el distrito más envejecido?</t>
  </si>
  <si>
    <t xml:space="preserve">rank_paradas_por_10k_hab</t>
  </si>
  <si>
    <t xml:space="preserve">Posición del distrito por paradas por habitante (1 = mayor).</t>
  </si>
  <si>
    <t xml:space="preserve">¿Qué distrito tiene más transporte por habitante?</t>
  </si>
  <si>
    <t xml:space="preserve">curated/atlas_zonas/tipologias_centros_estandarizados.csv</t>
  </si>
  <si>
    <t xml:space="preserve">Valor estandarizado (z) del centro de cada tipología para: habitantes por kilómetro cuadrado de tierra.</t>
  </si>
  <si>
    <t xml:space="preserve">desviaciones estándar</t>
  </si>
  <si>
    <t xml:space="preserve">0.981</t>
  </si>
  <si>
    <t xml:space="preserve">-0.836 a 1.223</t>
  </si>
  <si>
    <t xml:space="preserve">Centro del k-means sobre variables estandarizadas (media 0, desvío 1).</t>
  </si>
  <si>
    <t xml:space="preserve">¿Qué rasgo define a cada tipo de zona?</t>
  </si>
  <si>
    <t xml:space="preserve">Valor estandarizado (z) del centro de cada tipología para: ingreso mensual mediano de los hogares domésticos en 2025.</t>
  </si>
  <si>
    <t xml:space="preserve">-0.03</t>
  </si>
  <si>
    <t xml:space="preserve">-1.1 a 2.069</t>
  </si>
  <si>
    <t xml:space="preserve">Valor estandarizado (z) del centro de cada tipología para: porcentaje de la población con 65 años o más.</t>
  </si>
  <si>
    <t xml:space="preserve">0.394</t>
  </si>
  <si>
    <t xml:space="preserve">-0.626 a 0.955</t>
  </si>
  <si>
    <t xml:space="preserve">Valor estandarizado (z) del centro de cada tipología para: porcentaje de la población en vivienda pública de alquiler.</t>
  </si>
  <si>
    <t xml:space="preserve">-0.714</t>
  </si>
  <si>
    <t xml:space="preserve">-1.409 a 1.48</t>
  </si>
  <si>
    <t xml:space="preserve">Valor estandarizado (z) del centro de cada tipología para: porcentaje de la población de 15+ con título universitario.</t>
  </si>
  <si>
    <t xml:space="preserve">0.505</t>
  </si>
  <si>
    <t xml:space="preserve">-1.006 a 2.222</t>
  </si>
  <si>
    <t xml:space="preserve">Valor estandarizado (z) del centro de cada tipología para: paradas de transporte por cada 10.000 habitantes.</t>
  </si>
  <si>
    <t xml:space="preserve">-0.033</t>
  </si>
  <si>
    <t xml:space="preserve">-0.895 a 2.026</t>
  </si>
  <si>
    <t xml:space="preserve">Núcleo urbano denso de clase media</t>
  </si>
  <si>
    <t xml:space="preserve">F02; F03; F05; F06</t>
  </si>
  <si>
    <t xml:space="preserve">curated/correlaciones/matriz_pearson.csv</t>
  </si>
  <si>
    <t xml:space="preserve">variable</t>
  </si>
  <si>
    <t xml:space="preserve">Variable de la fila en la matriz de correlación.</t>
  </si>
  <si>
    <t xml:space="preserve">Texto libre (17 valores distintos)</t>
  </si>
  <si>
    <t xml:space="preserve">Nombre del campo del atlas.</t>
  </si>
  <si>
    <t xml:space="preserve">¿Con qué se relaciona esta variable?</t>
  </si>
  <si>
    <t xml:space="preserve">Coeficiente de Pearson entre la variable de la fila y densidad_hab_km2.</t>
  </si>
  <si>
    <t xml:space="preserve">coeficiente −1 a 1</t>
  </si>
  <si>
    <t xml:space="preserve">-0.6383 a 1</t>
  </si>
  <si>
    <t xml:space="preserve">Matriz Pearson sobre los 18 distritos del atlas.</t>
  </si>
  <si>
    <t xml:space="preserve">¿Qué se relaciona con densidad_hab_km2?</t>
  </si>
  <si>
    <t xml:space="preserve">Coeficiente de Pearson entre la variable de la fila y edad_mediana.</t>
  </si>
  <si>
    <t xml:space="preserve">0.4013</t>
  </si>
  <si>
    <t xml:space="preserve">-0.8374 a 1</t>
  </si>
  <si>
    <t xml:space="preserve">¿Qué se relaciona con edad_mediana?</t>
  </si>
  <si>
    <t xml:space="preserve">Coeficiente de Pearson entre la variable de la fila y pct_65_mas.</t>
  </si>
  <si>
    <t xml:space="preserve">0.5553</t>
  </si>
  <si>
    <t xml:space="preserve">-0.7653 a 1</t>
  </si>
  <si>
    <t xml:space="preserve">¿Qué se relaciona con pct_65_mas?</t>
  </si>
  <si>
    <t xml:space="preserve">Coeficiente de Pearson entre la variable de la fila y pct_0_14.</t>
  </si>
  <si>
    <t xml:space="preserve">-0.2441</t>
  </si>
  <si>
    <t xml:space="preserve">¿Qué se relaciona con pct_0_14?</t>
  </si>
  <si>
    <t xml:space="preserve">Coeficiente de Pearson entre la variable de la fila y tamano_medio_hogar.</t>
  </si>
  <si>
    <t xml:space="preserve">-0.4955</t>
  </si>
  <si>
    <t xml:space="preserve">-0.5976 a 1</t>
  </si>
  <si>
    <t xml:space="preserve">¿Qué se relaciona con tamano_medio_hogar?</t>
  </si>
  <si>
    <t xml:space="preserve">Coeficiente de Pearson entre la variable de la fila y pct_titulo_universitario_15_mas.</t>
  </si>
  <si>
    <t xml:space="preserve">-0.1284</t>
  </si>
  <si>
    <t xml:space="preserve">-0.7578 a 1</t>
  </si>
  <si>
    <t xml:space="preserve">¿Qué se relaciona con pct_titulo_universitario_15_mas?</t>
  </si>
  <si>
    <t xml:space="preserve">Coeficiente de Pearson entre la variable de la fila y pct_nacida_en_hk.</t>
  </si>
  <si>
    <t xml:space="preserve">-0.5773</t>
  </si>
  <si>
    <t xml:space="preserve">-0.6964 a 1</t>
  </si>
  <si>
    <t xml:space="preserve">¿Qué se relaciona con pct_nacida_en_hk?</t>
  </si>
  <si>
    <t xml:space="preserve">Coeficiente de Pearson entre la variable de la fila y pct_vivienda_publica_alquiler.</t>
  </si>
  <si>
    <t xml:space="preserve">0.3342</t>
  </si>
  <si>
    <t xml:space="preserve">-0.8954 a 1</t>
  </si>
  <si>
    <t xml:space="preserve">¿Qué se relaciona con pct_vivienda_publica_alquiler?</t>
  </si>
  <si>
    <t xml:space="preserve">Coeficiente de Pearson entre la variable de la fila y pct_vivienda_privada.</t>
  </si>
  <si>
    <t xml:space="preserve">-0.1379</t>
  </si>
  <si>
    <t xml:space="preserve">¿Qué se relaciona con pct_vivienda_privada?</t>
  </si>
  <si>
    <t xml:space="preserve">Coeficiente de Pearson entre la variable de la fila y ingreso_mediano_hogar_hkd_2025.</t>
  </si>
  <si>
    <t xml:space="preserve">-0.3692</t>
  </si>
  <si>
    <t xml:space="preserve">-0.7054 a 1</t>
  </si>
  <si>
    <t xml:space="preserve">¿Qué se relaciona con ingreso_mediano_hogar_hkd_2025?</t>
  </si>
  <si>
    <t xml:space="preserve">Coeficiente de Pearson entre la variable de la fila y ingreso_mediano_mensual_empleo_hkd_2021.</t>
  </si>
  <si>
    <t xml:space="preserve">-0.3562</t>
  </si>
  <si>
    <t xml:space="preserve">-0.7497 a 1</t>
  </si>
  <si>
    <t xml:space="preserve">¿Qué se relaciona con ingreso_mediano_mensual_empleo_hkd_2021?</t>
  </si>
  <si>
    <t xml:space="preserve">Coeficiente de Pearson entre la variable de la fila y tasa_participacion_laboral_pct_2025.</t>
  </si>
  <si>
    <t xml:space="preserve">-0.3273</t>
  </si>
  <si>
    <t xml:space="preserve">-0.7368 a 1</t>
  </si>
  <si>
    <t xml:space="preserve">¿Qué se relaciona con tasa_participacion_laboral_pct_2025?</t>
  </si>
  <si>
    <t xml:space="preserve">Coeficiente de Pearson entre la variable de la fila y var_ingreso_2016_2025_pct.</t>
  </si>
  <si>
    <t xml:space="preserve">-0.1526</t>
  </si>
  <si>
    <t xml:space="preserve">-0.5142 a 1</t>
  </si>
  <si>
    <t xml:space="preserve">¿Qué se relaciona con var_ingreso_2016_2025_pct?</t>
  </si>
  <si>
    <t xml:space="preserve">Coeficiente de Pearson entre la variable de la fila y var_pob_2016_2025_pct.</t>
  </si>
  <si>
    <t xml:space="preserve">-0.3937</t>
  </si>
  <si>
    <t xml:space="preserve">-0.637 a 1</t>
  </si>
  <si>
    <t xml:space="preserve">¿Qué se relaciona con var_pob_2016_2025_pct?</t>
  </si>
  <si>
    <t xml:space="preserve">Coeficiente de Pearson entre la variable de la fila y paradas_por_10k_hab.</t>
  </si>
  <si>
    <t xml:space="preserve">-0.2024</t>
  </si>
  <si>
    <t xml:space="preserve">-0.6098 a 1</t>
  </si>
  <si>
    <t xml:space="preserve">¿Qué se relaciona con paradas_por_10k_hab?</t>
  </si>
  <si>
    <t xml:space="preserve">Coeficiente de Pearson entre la variable de la fila y paradas_por_km2.</t>
  </si>
  <si>
    <t xml:space="preserve">0.9408</t>
  </si>
  <si>
    <t xml:space="preserve">-0.73 a 1</t>
  </si>
  <si>
    <t xml:space="preserve">¿Qué se relaciona con paradas_por_km2?</t>
  </si>
  <si>
    <t xml:space="preserve">Coeficiente de Pearson entre la variable de la fila y dist_media_hospital_km.</t>
  </si>
  <si>
    <t xml:space="preserve">-0.6383</t>
  </si>
  <si>
    <t xml:space="preserve">¿Qué se relaciona con dist_media_hospital_km?</t>
  </si>
  <si>
    <t xml:space="preserve">curated/correlaciones/matriz_spearman.csv</t>
  </si>
  <si>
    <t xml:space="preserve">Coeficiente de Spearman entre la variable de la fila y densidad_hab_km2.</t>
  </si>
  <si>
    <t xml:space="preserve">-0.7155 a 1</t>
  </si>
  <si>
    <t xml:space="preserve">Matriz Spearman sobre los 18 distritos del atlas.</t>
  </si>
  <si>
    <t xml:space="preserve">Coeficiente de Spearman entre la variable de la fila y edad_mediana.</t>
  </si>
  <si>
    <t xml:space="preserve">0.4207</t>
  </si>
  <si>
    <t xml:space="preserve">-0.768 a 1</t>
  </si>
  <si>
    <t xml:space="preserve">Coeficiente de Spearman entre la variable de la fila y pct_65_mas.</t>
  </si>
  <si>
    <t xml:space="preserve">0.6594</t>
  </si>
  <si>
    <t xml:space="preserve">-0.7709 a 1</t>
  </si>
  <si>
    <t xml:space="preserve">Coeficiente de Spearman entre la variable de la fila y pct_0_14.</t>
  </si>
  <si>
    <t xml:space="preserve">-0.3271</t>
  </si>
  <si>
    <t xml:space="preserve">Coeficiente de Spearman entre la variable de la fila y tamano_medio_hogar.</t>
  </si>
  <si>
    <t xml:space="preserve">-0.4851</t>
  </si>
  <si>
    <t xml:space="preserve">-0.5352 a 1</t>
  </si>
  <si>
    <t xml:space="preserve">Coeficiente de Spearman entre la variable de la fila y pct_titulo_universitario_15_mas.</t>
  </si>
  <si>
    <t xml:space="preserve">-0.0836</t>
  </si>
  <si>
    <t xml:space="preserve">-0.7317 a 1</t>
  </si>
  <si>
    <t xml:space="preserve">Coeficiente de Spearman entre la variable de la fila y pct_nacida_en_hk.</t>
  </si>
  <si>
    <t xml:space="preserve">-0.5253</t>
  </si>
  <si>
    <t xml:space="preserve">-0.581 a 1</t>
  </si>
  <si>
    <t xml:space="preserve">Coeficiente de Spearman entre la variable de la fila y pct_vivienda_publica_alquiler.</t>
  </si>
  <si>
    <t xml:space="preserve">0.2136</t>
  </si>
  <si>
    <t xml:space="preserve">-0.8287 a 1</t>
  </si>
  <si>
    <t xml:space="preserve">Coeficiente de Spearman entre la variable de la fila y pct_vivienda_privada.</t>
  </si>
  <si>
    <t xml:space="preserve">-0.1166</t>
  </si>
  <si>
    <t xml:space="preserve">Coeficiente de Spearman entre la variable de la fila y ingreso_mediano_hogar_hkd_2025.</t>
  </si>
  <si>
    <t xml:space="preserve">-0.3748</t>
  </si>
  <si>
    <t xml:space="preserve">-0.6701 a 1</t>
  </si>
  <si>
    <t xml:space="preserve">Coeficiente de Spearman entre la variable de la fila y ingreso_mediano_mensual_empleo_hkd_2021.</t>
  </si>
  <si>
    <t xml:space="preserve">-0.2601</t>
  </si>
  <si>
    <t xml:space="preserve">-0.7206 a 1</t>
  </si>
  <si>
    <t xml:space="preserve">Coeficiente de Spearman entre la variable de la fila y tasa_participacion_laboral_pct_2025.</t>
  </si>
  <si>
    <t xml:space="preserve">-0.2903</t>
  </si>
  <si>
    <t xml:space="preserve">-0.7289 a 1</t>
  </si>
  <si>
    <t xml:space="preserve">Coeficiente de Spearman entre la variable de la fila y var_ingreso_2016_2025_pct.</t>
  </si>
  <si>
    <t xml:space="preserve">-0.1549</t>
  </si>
  <si>
    <t xml:space="preserve">-0.54 a 1</t>
  </si>
  <si>
    <t xml:space="preserve">Coeficiente de Spearman entre la variable de la fila y var_pob_2016_2025_pct.</t>
  </si>
  <si>
    <t xml:space="preserve">-0.548</t>
  </si>
  <si>
    <t xml:space="preserve">-0.5789 a 1</t>
  </si>
  <si>
    <t xml:space="preserve">Coeficiente de Spearman entre la variable de la fila y paradas_por_10k_hab.</t>
  </si>
  <si>
    <t xml:space="preserve">-0.2632</t>
  </si>
  <si>
    <t xml:space="preserve">-0.4923 a 1</t>
  </si>
  <si>
    <t xml:space="preserve">Coeficiente de Spearman entre la variable de la fila y paradas_por_km2.</t>
  </si>
  <si>
    <t xml:space="preserve">0.9628</t>
  </si>
  <si>
    <t xml:space="preserve">-0.7682 a 1</t>
  </si>
  <si>
    <t xml:space="preserve">Coeficiente de Spearman entre la variable de la fila y dist_media_hospital_km.</t>
  </si>
  <si>
    <t xml:space="preserve">-0.7155</t>
  </si>
  <si>
    <t xml:space="preserve">curated/correlaciones/pares.csv</t>
  </si>
  <si>
    <t xml:space="preserve">var_x</t>
  </si>
  <si>
    <t xml:space="preserve">Primera variable del par.</t>
  </si>
  <si>
    <t xml:space="preserve">Texto libre (16 valores distintos)</t>
  </si>
  <si>
    <t xml:space="preserve">¿Qué pares de indicadores se mueven juntos?</t>
  </si>
  <si>
    <t xml:space="preserve">var_y</t>
  </si>
  <si>
    <t xml:space="preserve">Segunda variable del par.</t>
  </si>
  <si>
    <t xml:space="preserve">etiqueta_x</t>
  </si>
  <si>
    <t xml:space="preserve">Etiqueta legible de la primera variable.</t>
  </si>
  <si>
    <t xml:space="preserve">Densidad (hab/km²)</t>
  </si>
  <si>
    <t xml:space="preserve">Traducción para la interfaz.</t>
  </si>
  <si>
    <t xml:space="preserve">¿Cómo mostrar la variable al usuario?</t>
  </si>
  <si>
    <t xml:space="preserve">etiqueta_y</t>
  </si>
  <si>
    <t xml:space="preserve">Etiqueta legible de la segunda variable.</t>
  </si>
  <si>
    <t xml:space="preserve">Paradas por km²</t>
  </si>
  <si>
    <t xml:space="preserve">pearson_r</t>
  </si>
  <si>
    <t xml:space="preserve">Correlación lineal de Pearson entre las dos variables.</t>
  </si>
  <si>
    <t xml:space="preserve">-0.8954 a 0.9408</t>
  </si>
  <si>
    <t xml:space="preserve">scipy.stats.pearsonr sobre los 18 distritos.</t>
  </si>
  <si>
    <t xml:space="preserve">¿Qué tan fuerte es la relación lineal?</t>
  </si>
  <si>
    <t xml:space="preserve">pearson_p</t>
  </si>
  <si>
    <t xml:space="preserve">Valor p de la correlación de Pearson.</t>
  </si>
  <si>
    <t xml:space="preserve">probabilidad 0–1</t>
  </si>
  <si>
    <t xml:space="preserve">0 a 0.9862</t>
  </si>
  <si>
    <t xml:space="preserve">scipy.stats.pearsonr.</t>
  </si>
  <si>
    <t xml:space="preserve">¿La relación es estadísticamente significativa?</t>
  </si>
  <si>
    <t xml:space="preserve">spearman_rho</t>
  </si>
  <si>
    <t xml:space="preserve">Correlación de rangos de Spearman.</t>
  </si>
  <si>
    <t xml:space="preserve">-0.8287 a 0.9628</t>
  </si>
  <si>
    <t xml:space="preserve">scipy.stats.spearmanr.</t>
  </si>
  <si>
    <t xml:space="preserve">¿Hay relación monótona aunque no sea lineal?</t>
  </si>
  <si>
    <t xml:space="preserve">spearman_p</t>
  </si>
  <si>
    <t xml:space="preserve">Valor p de la correlación de Spearman.</t>
  </si>
  <si>
    <t xml:space="preserve">0 a 0.9838</t>
  </si>
  <si>
    <t xml:space="preserve">¿La relación de rangos es significativa?</t>
  </si>
  <si>
    <t xml:space="preserve">n</t>
  </si>
  <si>
    <t xml:space="preserve">Número de observaciones usadas.</t>
  </si>
  <si>
    <t xml:space="preserve">distritos</t>
  </si>
  <si>
    <t xml:space="preserve">18</t>
  </si>
  <si>
    <t xml:space="preserve">18 a 18</t>
  </si>
  <si>
    <t xml:space="preserve">Constante 18.</t>
  </si>
  <si>
    <t xml:space="preserve">¿Con cuántos datos se calculó?</t>
  </si>
  <si>
    <t xml:space="preserve">significativo_5pct</t>
  </si>
  <si>
    <t xml:space="preserve">Indica si el valor p de Pearson es menor que 0,05.</t>
  </si>
  <si>
    <t xml:space="preserve">Booleano</t>
  </si>
  <si>
    <t xml:space="preserve">booleano</t>
  </si>
  <si>
    <t xml:space="preserve">True</t>
  </si>
  <si>
    <t xml:space="preserve">True / False</t>
  </si>
  <si>
    <t xml:space="preserve">pearson_p &lt; 0,05.</t>
  </si>
  <si>
    <t xml:space="preserve">¿Se puede confiar en la relación?</t>
  </si>
  <si>
    <t xml:space="preserve">curated/demografia/distritos_censo2021.csv</t>
  </si>
  <si>
    <t xml:space="preserve">Tomado de la tabla de Wikipedia y unido por nombre inglés.</t>
  </si>
  <si>
    <t xml:space="preserve">Renombrado; descarga vía WFS CSDI.</t>
  </si>
  <si>
    <t xml:space="preserve">Renombrado; en el panel GHS la fuente la publica redondeada a entero.</t>
  </si>
  <si>
    <t xml:space="preserve">Renombrado; validado: la suma de los 5 grupos = t_pop.</t>
  </si>
  <si>
    <t xml:space="preserve">100 × age_1 / t_pop, 2 decimales.</t>
  </si>
  <si>
    <t xml:space="preserve">100 × age_2 / t_pop.</t>
  </si>
  <si>
    <t xml:space="preserve">100 × age_3 / t_pop.</t>
  </si>
  <si>
    <t xml:space="preserve">100 × age_4 / t_pop.</t>
  </si>
  <si>
    <t xml:space="preserve">100 × age_5 / t_pop, 2 decimales.</t>
  </si>
  <si>
    <t xml:space="preserve">100 × age_5 / age_1.</t>
  </si>
  <si>
    <t xml:space="preserve">Renombrado. No incluye educación superior no universitaria.</t>
  </si>
  <si>
    <t xml:space="preserve">100 × edu_deg / (t_pop − age_1).</t>
  </si>
  <si>
    <t xml:space="preserve">100 × born_hk / t_pop.</t>
  </si>
  <si>
    <t xml:space="preserve">Renombrado; validado: suma de tipos = t_pop.</t>
  </si>
  <si>
    <t xml:space="preserve">Renombrado; el guion '-' de la fuente se convirtió en 0.</t>
  </si>
  <si>
    <t xml:space="preserve">100 × pop_pub / t_pop.</t>
  </si>
  <si>
    <t xml:space="preserve">100 × pop_s / t_pop.</t>
  </si>
  <si>
    <t xml:space="preserve">100 × pop_pri / t_pop.</t>
  </si>
  <si>
    <t xml:space="preserve">poblacion_2021 / area_km2_oficial, redondeado a entero.</t>
  </si>
  <si>
    <t xml:space="preserve">Filtrado al último año y unido por código.</t>
  </si>
  <si>
    <t xml:space="preserve">100 × (my_lp 2025 / my_lp 2016 − 1).</t>
  </si>
  <si>
    <t xml:space="preserve">curated/demografia/panel_poblacion_2016_2025.csv</t>
  </si>
  <si>
    <t xml:space="preserve">anio</t>
  </si>
  <si>
    <t xml:space="preserve">year</t>
  </si>
  <si>
    <t xml:space="preserve">Año de referencia de la observación.</t>
  </si>
  <si>
    <t xml:space="preserve">año</t>
  </si>
  <si>
    <t xml:space="preserve">2016</t>
  </si>
  <si>
    <t xml:space="preserve">2.016 a 2.025</t>
  </si>
  <si>
    <t xml:space="preserve">Convertido a entero.</t>
  </si>
  <si>
    <t xml:space="preserve">¿Cómo evoluciona el indicador en el tiempo?</t>
  </si>
  <si>
    <t xml:space="preserve">poblacion_mitad_anio</t>
  </si>
  <si>
    <t xml:space="preserve">my_lp</t>
  </si>
  <si>
    <t xml:space="preserve">Población terrestre a mitad de año del distrito.</t>
  </si>
  <si>
    <t xml:space="preserve">243300</t>
  </si>
  <si>
    <t xml:space="preserve">156.800 a 705.000</t>
  </si>
  <si>
    <t xml:space="preserve">Renombrado; convertido a entero.</t>
  </si>
  <si>
    <t xml:space="preserve">¿Cómo cambió la población de cada distrito entre 2016 y 2025? (Wiki 1.1)</t>
  </si>
  <si>
    <t xml:space="preserve">43</t>
  </si>
  <si>
    <t xml:space="preserve">40 a 51</t>
  </si>
  <si>
    <t xml:space="preserve">curated/economia/distritos_economia.csv</t>
  </si>
  <si>
    <t xml:space="preserve">100 × t_wp / t_lf.</t>
  </si>
  <si>
    <t xml:space="preserve">Filtrado al último año del panel GHS.</t>
  </si>
  <si>
    <t xml:space="preserve">100 × (ma_hh 2025 / ma_hh 2016 − 1); no ajustado por inflación.</t>
  </si>
  <si>
    <t xml:space="preserve">100 × ingreso 2025 / mediana de los 18 valores.</t>
  </si>
  <si>
    <t xml:space="preserve">F14; F15</t>
  </si>
  <si>
    <t xml:space="preserve">curated/economia/indicadores_recientes.csv</t>
  </si>
  <si>
    <t xml:space="preserve">indicador</t>
  </si>
  <si>
    <t xml:space="preserve">(rotulado al capturar)</t>
  </si>
  <si>
    <t xml:space="preserve">Nombre del indicador puntual reciente.</t>
  </si>
  <si>
    <t xml:space="preserve">tasa_desempleo_desestacionalizada</t>
  </si>
  <si>
    <t xml:space="preserve">delitos_totales, delitos_violentos, tasa_desempleo_desestacionalizada, tasa_esclarecimiento_delitos, tasa_esclarecimiento_delitos_violentos</t>
  </si>
  <si>
    <t xml:space="preserve">Nombre normalizado en español y snake_case.</t>
  </si>
  <si>
    <t xml:space="preserve">¿Cuál es el último dato de desempleo y delitos? (Wiki 4.1, 4.2)</t>
  </si>
  <si>
    <t xml:space="preserve">periodo</t>
  </si>
  <si>
    <t xml:space="preserve">Year/Month o periodo publicado</t>
  </si>
  <si>
    <t xml:space="preserve">Periodo al que corresponde el valor (año, mes o ventana móvil).</t>
  </si>
  <si>
    <t xml:space="preserve">Fecha</t>
  </si>
  <si>
    <t xml:space="preserve">2026-06/2026-08</t>
  </si>
  <si>
    <t xml:space="preserve">2024, 2025, 2026-05/2026-07, 2026-06/2026-08</t>
  </si>
  <si>
    <t xml:space="preserve">En delitos: año y mes en inglés convertidos a AAAA-MM.</t>
  </si>
  <si>
    <t xml:space="preserve">¿A qué fecha corresponde el dato?</t>
  </si>
  <si>
    <t xml:space="preserve">valor</t>
  </si>
  <si>
    <t xml:space="preserve">(valor publicado)</t>
  </si>
  <si>
    <t xml:space="preserve">Valor numérico del indicador.</t>
  </si>
  <si>
    <t xml:space="preserve">según columna unidad</t>
  </si>
  <si>
    <t xml:space="preserve">3.8</t>
  </si>
  <si>
    <t xml:space="preserve">3.7 a 9.475e+04</t>
  </si>
  <si>
    <t xml:space="preserve">Copiado tal cual.</t>
  </si>
  <si>
    <t xml:space="preserve">¿Cuál es el valor del indicador?</t>
  </si>
  <si>
    <t xml:space="preserve">unidad</t>
  </si>
  <si>
    <t xml:space="preserve">(rotulado)</t>
  </si>
  <si>
    <t xml:space="preserve">Unidad del valor del indicador.</t>
  </si>
  <si>
    <t xml:space="preserve">%, casos</t>
  </si>
  <si>
    <t xml:space="preserve">Escrito al capturar.</t>
  </si>
  <si>
    <t xml:space="preserve">¿En qué unidad está el valor?</t>
  </si>
  <si>
    <t xml:space="preserve">fuente</t>
  </si>
  <si>
    <t xml:space="preserve">(rotulado / dominio de la URL)</t>
  </si>
  <si>
    <t xml:space="preserve">Organismo o medio de origen del dato.</t>
  </si>
  <si>
    <t xml:space="preserve">Census and Statistics Department (via Moody's Analytics)</t>
  </si>
  <si>
    <t xml:space="preserve">Census and Statistics Department (via Moody's Analytics), Hong Kong Police Force - Police in Figures 2025</t>
  </si>
  <si>
    <t xml:space="preserve">En noticias se extrae el dominio de la URL con expresión regular.</t>
  </si>
  <si>
    <t xml:space="preserve">¿De dónde viene este dato y qué tan confiable es?</t>
  </si>
  <si>
    <t xml:space="preserve">url</t>
  </si>
  <si>
    <t xml:space="preserve">link / url</t>
  </si>
  <si>
    <t xml:space="preserve">Enlace a la fuente original.</t>
  </si>
  <si>
    <t xml:space="preserve">URL</t>
  </si>
  <si>
    <t xml:space="preserve">https://www.economy.com/hong-kong/unemployment-rate, https://www.police.gov.hk/info/doc/police_in_figure/2025/2025_en.html</t>
  </si>
  <si>
    <t xml:space="preserve">¿Dónde verificar el dato?</t>
  </si>
  <si>
    <t xml:space="preserve">F10; F11; F12</t>
  </si>
  <si>
    <t xml:space="preserve">curated/economia/macro_anual_2000_2025.csv</t>
  </si>
  <si>
    <t xml:space="preserve">2000</t>
  </si>
  <si>
    <t xml:space="preserve">2.000 a 2.025</t>
  </si>
  <si>
    <t xml:space="preserve">pib_per_capita_usd_corrientes</t>
  </si>
  <si>
    <t xml:space="preserve">PCAGDPHKA646NWDB (NY.GDP.PCAP.CD)</t>
  </si>
  <si>
    <t xml:space="preserve">PIB por habitante a precios corrientes.</t>
  </si>
  <si>
    <t xml:space="preserve">US$ corrientes</t>
  </si>
  <si>
    <t xml:space="preserve">25756.8</t>
  </si>
  <si>
    <t xml:space="preserve">2.398e+04 a 5.698e+04</t>
  </si>
  <si>
    <t xml:space="preserve">Fecha anual convertida a año; filtrado 2000–2025.</t>
  </si>
  <si>
    <t xml:space="preserve">¿Qué tan rica es la economía de Hong Kong? (Wiki 3.1)</t>
  </si>
  <si>
    <t xml:space="preserve">pib_per_capita_usd_constantes_2015</t>
  </si>
  <si>
    <t xml:space="preserve">NYGDPPCAPKDHKG (NY.GDP.PCAP.KD)</t>
  </si>
  <si>
    <t xml:space="preserve">PIB por habitante a precios constantes (base 2015).</t>
  </si>
  <si>
    <t xml:space="preserve">US$ constantes de 2015</t>
  </si>
  <si>
    <t xml:space="preserve">26933.2</t>
  </si>
  <si>
    <t xml:space="preserve">2.689e+04 a 4.645e+04</t>
  </si>
  <si>
    <t xml:space="preserve">¿Cuánto creció la economía en términos reales? (Wiki 3.1)</t>
  </si>
  <si>
    <t xml:space="preserve">inflacion_ipc_pct</t>
  </si>
  <si>
    <t xml:space="preserve">FPCPITOTLZGHKG (FP.CPI.TOTL.ZG)</t>
  </si>
  <si>
    <t xml:space="preserve">Variación anual del índice de precios al consumidor.</t>
  </si>
  <si>
    <t xml:space="preserve">-3.6855</t>
  </si>
  <si>
    <t xml:space="preserve">-3.686 a 5.305</t>
  </si>
  <si>
    <t xml:space="preserve">Fecha anual convertida a año.</t>
  </si>
  <si>
    <t xml:space="preserve">¿Cómo ha evolucionado el costo de vida? (Wiki 2.1, 2.2)</t>
  </si>
  <si>
    <t xml:space="preserve">crecimiento_real_pib_pc_pct</t>
  </si>
  <si>
    <t xml:space="preserve">Crecimiento anual del PIB per cápita real.</t>
  </si>
  <si>
    <t xml:space="preserve">-0.18</t>
  </si>
  <si>
    <t xml:space="preserve">-6.21 a 7.86</t>
  </si>
  <si>
    <t xml:space="preserve">Variación porcentual año contra año del PIB per cápita constante.</t>
  </si>
  <si>
    <t xml:space="preserve">¿En qué años creció o se contrajo la economía?</t>
  </si>
  <si>
    <t xml:space="preserve">curated/economia/panel_ingreso_empleo_2016_2025.csv</t>
  </si>
  <si>
    <t xml:space="preserve">ingreso_mediano_hogar_hkd</t>
  </si>
  <si>
    <t xml:space="preserve">Ingreso mensual mediano de los hogares domésticos del distrito en el año.</t>
  </si>
  <si>
    <t xml:space="preserve">39500</t>
  </si>
  <si>
    <t xml:space="preserve">20.600 a 45.000</t>
  </si>
  <si>
    <t xml:space="preserve">¿Cómo evolucionó el ingreso de cada distrito 2016–2025? (Wiki 1.7)</t>
  </si>
  <si>
    <t xml:space="preserve">tasa_participacion_laboral_pct</t>
  </si>
  <si>
    <t xml:space="preserve">t_lfpr</t>
  </si>
  <si>
    <t xml:space="preserve">Tasa de participación laboral del distrito en el año.</t>
  </si>
  <si>
    <t xml:space="preserve">64.3</t>
  </si>
  <si>
    <t xml:space="preserve">52.7 a 65.4</t>
  </si>
  <si>
    <t xml:space="preserve">¿Cómo evolucionó la participación laboral 2016–2025?</t>
  </si>
  <si>
    <t xml:space="preserve">curated/escucha/delitos_mensuales.csv</t>
  </si>
  <si>
    <t xml:space="preserve">2022-01</t>
  </si>
  <si>
    <t xml:space="preserve">Texto libre (36 valores distintos)</t>
  </si>
  <si>
    <t xml:space="preserve">delitos_totales</t>
  </si>
  <si>
    <t xml:space="preserve">Overall</t>
  </si>
  <si>
    <t xml:space="preserve">Delitos totales registrados en el mes.</t>
  </si>
  <si>
    <t xml:space="preserve">casos</t>
  </si>
  <si>
    <t xml:space="preserve">5815</t>
  </si>
  <si>
    <t xml:space="preserve">3.297 a 8.879</t>
  </si>
  <si>
    <t xml:space="preserve">¿Cómo evoluciona la criminalidad mes a mes? (Wiki 4.1)</t>
  </si>
  <si>
    <t xml:space="preserve">delitos_violentos</t>
  </si>
  <si>
    <t xml:space="preserve">Violent</t>
  </si>
  <si>
    <t xml:space="preserve">Delitos violentos registrados en el mes.</t>
  </si>
  <si>
    <t xml:space="preserve">775</t>
  </si>
  <si>
    <t xml:space="preserve">464 a 994</t>
  </si>
  <si>
    <t xml:space="preserve">¿Cómo evolucionan los delitos violentos? (Wiki 4.2)</t>
  </si>
  <si>
    <t xml:space="preserve">pct_violentos</t>
  </si>
  <si>
    <t xml:space="preserve">Porcentaje de delitos que son violentos en el mes.</t>
  </si>
  <si>
    <t xml:space="preserve">13.33</t>
  </si>
  <si>
    <t xml:space="preserve">9.7 a 14.07</t>
  </si>
  <si>
    <t xml:space="preserve">100 × delitos_violentos / delitos_totales.</t>
  </si>
  <si>
    <t xml:space="preserve">¿Está cambiando la composición del delito? (Wiki 4.2, 4.4)</t>
  </si>
  <si>
    <t xml:space="preserve">curated/escucha/menciones_por_distrito.csv</t>
  </si>
  <si>
    <t xml:space="preserve">Conteo de códigos en distritos_mencionados.</t>
  </si>
  <si>
    <t xml:space="preserve">curated/escucha/noticias.csv</t>
  </si>
  <si>
    <t xml:space="preserve">tema</t>
  </si>
  <si>
    <t xml:space="preserve">Tema de la conversación pública al que pertenece el titular.</t>
  </si>
  <si>
    <t xml:space="preserve">vivienda</t>
  </si>
  <si>
    <t xml:space="preserve">ambiente, comercio, desarrollo, salud, transporte, turismo, vivienda</t>
  </si>
  <si>
    <t xml:space="preserve">Asignado según la consulta de búsqueda.</t>
  </si>
  <si>
    <t xml:space="preserve">¿De qué se está hablando en Hong Kong?</t>
  </si>
  <si>
    <t xml:space="preserve">consulta</t>
  </si>
  <si>
    <t xml:space="preserve">(consulta)</t>
  </si>
  <si>
    <t xml:space="preserve">Consulta de búsqueda con la que se obtuvo el titular.</t>
  </si>
  <si>
    <t xml:space="preserve">Hong Kong housing news October 2026</t>
  </si>
  <si>
    <t xml:space="preserve">Hong Kong MTR transport news 2026, Hong Kong Northern Metropolis Yuen Long North district news 2026, Hong Kong air pollution weather typhoon news September 2026, Hong Kong hospital authority healthcare news 2026, Hong Kong housing news October 2026, Hong Kong retail sales economy news September 2026, Hong Kong tourism visitors arrivals 2026 news, Sham Shui Po subdivided units news 2026</t>
  </si>
  <si>
    <t xml:space="preserve">Copiado.</t>
  </si>
  <si>
    <t xml:space="preserve">¿Cómo se capturó el titular? (reproducibilidad)</t>
  </si>
  <si>
    <t xml:space="preserve">titular</t>
  </si>
  <si>
    <t xml:space="preserve">title</t>
  </si>
  <si>
    <t xml:space="preserve">Titular de la noticia.</t>
  </si>
  <si>
    <t xml:space="preserve">Hong Kong home prices rise</t>
  </si>
  <si>
    <t xml:space="preserve">Texto libre (32 valores distintos)</t>
  </si>
  <si>
    <t xml:space="preserve">Interna</t>
  </si>
  <si>
    <t xml:space="preserve">Copiado; sin texto del artículo. Clasificado «Interna» hasta revisar si nombra personas.</t>
  </si>
  <si>
    <t xml:space="preserve">¿Qué dice la prensa?</t>
  </si>
  <si>
    <t xml:space="preserve">https://finance.yahoo.com/news/hong-kong-home-prices-rise-093000178.html</t>
  </si>
  <si>
    <t xml:space="preserve">finance.yahoo.com</t>
  </si>
  <si>
    <t xml:space="preserve">Texto libre (15 valores distintos)</t>
  </si>
  <si>
    <t xml:space="preserve">distritos_mencionados</t>
  </si>
  <si>
    <t xml:space="preserve">Códigos de distrito mencionados en el titular o la URL, separados por '|'.</t>
  </si>
  <si>
    <t xml:space="preserve">A|B|C</t>
  </si>
  <si>
    <t xml:space="preserve">A|B|C, F, G, H|J, L|M|R, M|N</t>
  </si>
  <si>
    <t xml:space="preserve">Búsqueda por diccionario de distritos y barrios (hkopendata) más lugares clave.</t>
  </si>
  <si>
    <t xml:space="preserve">¿Qué distritos aparecen en la conversación pública?</t>
  </si>
  <si>
    <t xml:space="preserve">puntaje_tono</t>
  </si>
  <si>
    <t xml:space="preserve">Palabras positivas menos negativas en el titular.</t>
  </si>
  <si>
    <t xml:space="preserve">puntos</t>
  </si>
  <si>
    <t xml:space="preserve">-1 a 2</t>
  </si>
  <si>
    <t xml:space="preserve">Léxico heurístico v1 sobre el titular en minúsculas.</t>
  </si>
  <si>
    <t xml:space="preserve">¿La cobertura es favorable o desfavorable?</t>
  </si>
  <si>
    <t xml:space="preserve">tono</t>
  </si>
  <si>
    <t xml:space="preserve">Clasificación del tono del titular.</t>
  </si>
  <si>
    <t xml:space="preserve">positivo</t>
  </si>
  <si>
    <t xml:space="preserve">negativo, neutral, positivo</t>
  </si>
  <si>
    <t xml:space="preserve">positivo si puntaje &gt; 0, negativo si &lt; 0, neutral si = 0.</t>
  </si>
  <si>
    <t xml:space="preserve">¿Predomina la conversación positiva o negativa por tema?</t>
  </si>
  <si>
    <t xml:space="preserve">fecha_captura</t>
  </si>
  <si>
    <t xml:space="preserve">Fecha en que se capturó el titular.</t>
  </si>
  <si>
    <t xml:space="preserve">fecha (AAAA-MM-DD)</t>
  </si>
  <si>
    <t xml:space="preserve">Constante de la captura.</t>
  </si>
  <si>
    <t xml:space="preserve">¿De cuándo es esta foto de la conversación?</t>
  </si>
  <si>
    <t xml:space="preserve">metodo_tono</t>
  </si>
  <si>
    <t xml:space="preserve">Versión del método usado para calcular el tono.</t>
  </si>
  <si>
    <t xml:space="preserve">lexico_heuristico_v1</t>
  </si>
  <si>
    <t xml:space="preserve">Constante 'lexico_heuristico_v1'.</t>
  </si>
  <si>
    <t xml:space="preserve">¿Con qué método se calculó el tono?</t>
  </si>
  <si>
    <t xml:space="preserve">curated/escucha/temas_resumen.csv</t>
  </si>
  <si>
    <t xml:space="preserve">ambiente</t>
  </si>
  <si>
    <t xml:space="preserve">menciones</t>
  </si>
  <si>
    <t xml:space="preserve">Número de titulares del tema.</t>
  </si>
  <si>
    <t xml:space="preserve">2 a 9</t>
  </si>
  <si>
    <t xml:space="preserve">Conteo por tema.</t>
  </si>
  <si>
    <t xml:space="preserve">¿Qué temas tienen más cobertura?</t>
  </si>
  <si>
    <t xml:space="preserve">tono_medio</t>
  </si>
  <si>
    <t xml:space="preserve">Promedio del puntaje de tono de los titulares del tema.</t>
  </si>
  <si>
    <t xml:space="preserve">0 a 1</t>
  </si>
  <si>
    <t xml:space="preserve">Media de puntaje_tono por tema.</t>
  </si>
  <si>
    <t xml:space="preserve">¿Qué temas tienen la cobertura más favorable?</t>
  </si>
  <si>
    <t xml:space="preserve">positivas</t>
  </si>
  <si>
    <t xml:space="preserve">Titulares con tono positivo en el tema.</t>
  </si>
  <si>
    <t xml:space="preserve">Conteo de tono = positivo.</t>
  </si>
  <si>
    <t xml:space="preserve">¿Cuántas noticias favorables hay por tema?</t>
  </si>
  <si>
    <t xml:space="preserve">negativas</t>
  </si>
  <si>
    <t xml:space="preserve">Titulares con tono negativo en el tema.</t>
  </si>
  <si>
    <t xml:space="preserve">Conteo de tono = negativo.</t>
  </si>
  <si>
    <t xml:space="preserve">¿Cuántas noticias desfavorables hay por tema?</t>
  </si>
  <si>
    <t xml:space="preserve">curated/geo/circunscripciones_dcca_2019.csv</t>
  </si>
  <si>
    <t xml:space="preserve">curated/geo/distritos.csv</t>
  </si>
  <si>
    <t xml:space="preserve">Copiado; unido por nombre inglés del distrito.</t>
  </si>
  <si>
    <t xml:space="preserve">area_km2_poligono_incluye_mar</t>
  </si>
  <si>
    <t xml:space="preserve">Área del polígono del distrito calculada en SIG, incluye superficie marina.</t>
  </si>
  <si>
    <t xml:space="preserve">19.755</t>
  </si>
  <si>
    <t xml:space="preserve">9.303 a 766.5</t>
  </si>
  <si>
    <t xml:space="preserve">Disolución de DCCA por distrito y cálculo de área en EPSG:2326.</t>
  </si>
  <si>
    <t xml:space="preserve">¿Cuánto mar incluyen los límites administrativos?</t>
  </si>
  <si>
    <t xml:space="preserve">representative_point() del polígono disuelto, reproyectado a WGS84.</t>
  </si>
  <si>
    <t xml:space="preserve">Conteo de DCCA por código de distrito.</t>
  </si>
  <si>
    <t xml:space="preserve">curated/infraestructura/acceso_hospital_por_circunscripcion.csv</t>
  </si>
  <si>
    <t xml:space="preserve">hospital_urgencias_mas_cercano</t>
  </si>
  <si>
    <t xml:space="preserve">Hospital con urgencias más cercano al centro de la circunscripción.</t>
  </si>
  <si>
    <t xml:space="preserve">Ruttonjee Hospital</t>
  </si>
  <si>
    <t xml:space="preserve">Vecino más cercano en EPSG:2326 desde el punto representativo de la DCCA.</t>
  </si>
  <si>
    <t xml:space="preserve">¿A qué hospital iría alguien de esta zona? (Wiki 1.8)</t>
  </si>
  <si>
    <t xml:space="preserve">distancia_hospital_m</t>
  </si>
  <si>
    <t xml:space="preserve">Distancia en línea recta al hospital con urgencias más cercano.</t>
  </si>
  <si>
    <t xml:space="preserve">metros</t>
  </si>
  <si>
    <t xml:space="preserve">1373</t>
  </si>
  <si>
    <t xml:space="preserve">74 a 2.185e+04</t>
  </si>
  <si>
    <t xml:space="preserve">Distancia euclidiana en EPSG:2326, redondeada.</t>
  </si>
  <si>
    <t xml:space="preserve">¿Qué zonas están más lejos de una urgencia? (Wiki 1.8)</t>
  </si>
  <si>
    <t xml:space="preserve">curated/infraestructura/distritos_infraestructura.csv</t>
  </si>
  <si>
    <t xml:space="preserve">Conteo de paradas cuyo campo modos contiene 'bus'.</t>
  </si>
  <si>
    <t xml:space="preserve">Conteo de paradas con modo 'minibus'.</t>
  </si>
  <si>
    <t xml:space="preserve">Conteo de paradas con modo 'metro_mtr'.</t>
  </si>
  <si>
    <t xml:space="preserve">Conteo de paradas con modo 'tren_ligero'.</t>
  </si>
  <si>
    <t xml:space="preserve">Conteo de paradas con modo 'ferry'.</t>
  </si>
  <si>
    <t xml:space="preserve">Conteo tras unión espacial de hospitales a distritos.</t>
  </si>
  <si>
    <t xml:space="preserve">Conteo de pares operador:ruta únicos por distrito.</t>
  </si>
  <si>
    <t xml:space="preserve">paradas_transporte / area_km2_oficial.</t>
  </si>
  <si>
    <t xml:space="preserve">10.000 × paradas_transporte / poblacion_2021.</t>
  </si>
  <si>
    <t xml:space="preserve">poblacion_2021 / hospitales_urgencias; vacío si el distrito no tiene ninguno.</t>
  </si>
  <si>
    <t xml:space="preserve">Promedio por distrito de distancia_hospital_m / 1000.</t>
  </si>
  <si>
    <t xml:space="preserve">curated/infraestructura/estaciones_mtr.csv</t>
  </si>
  <si>
    <t xml:space="preserve">codigo_estacion</t>
  </si>
  <si>
    <t xml:space="preserve">stop id MTR / code HKO</t>
  </si>
  <si>
    <t xml:space="preserve">Código de la estación (MTR de 3 letras u HKO).</t>
  </si>
  <si>
    <t xml:space="preserve">ADM</t>
  </si>
  <si>
    <t xml:space="preserve">Texto libre (97 valores distintos)</t>
  </si>
  <si>
    <t xml:space="preserve">¿Qué estación es?</t>
  </si>
  <si>
    <t xml:space="preserve">Admiralty</t>
  </si>
  <si>
    <t xml:space="preserve">金鐘</t>
  </si>
  <si>
    <t xml:space="preserve">22.2794</t>
  </si>
  <si>
    <t xml:space="preserve">22.24 a 22.53</t>
  </si>
  <si>
    <t xml:space="preserve">114.164</t>
  </si>
  <si>
    <t xml:space="preserve">113.9 a 114.3</t>
  </si>
  <si>
    <t xml:space="preserve">n_rutas</t>
  </si>
  <si>
    <t xml:space="preserve">Número de rutas distintas que pasan por la parada o estación.</t>
  </si>
  <si>
    <t xml:space="preserve">1 a 4</t>
  </si>
  <si>
    <t xml:space="preserve">Conteo de pares operador:ruta que incluyen la parada.</t>
  </si>
  <si>
    <t xml:space="preserve">¿Qué tan bien servida está la parada?</t>
  </si>
  <si>
    <t xml:space="preserve">A01</t>
  </si>
  <si>
    <t xml:space="preserve">curated/infraestructura/hospitales_urgencias.csv</t>
  </si>
  <si>
    <t xml:space="preserve">hospital_en</t>
  </si>
  <si>
    <t xml:space="preserve">Hospital</t>
  </si>
  <si>
    <t xml:space="preserve">Nombre del hospital en inglés.</t>
  </si>
  <si>
    <t xml:space="preserve">Alice Ho Miu Ling Nethersole Hospital</t>
  </si>
  <si>
    <t xml:space="preserve">¿Qué hospital es?</t>
  </si>
  <si>
    <t xml:space="preserve">hospital_zh</t>
  </si>
  <si>
    <t xml:space="preserve">HospitalZh</t>
  </si>
  <si>
    <t xml:space="preserve">Nombre del hospital en chino.</t>
  </si>
  <si>
    <t xml:space="preserve">雅麗氏何妙齡那打素醫院</t>
  </si>
  <si>
    <t xml:space="preserve">¿Cómo se llama el hospital en chino?</t>
  </si>
  <si>
    <t xml:space="preserve">22.4586</t>
  </si>
  <si>
    <t xml:space="preserve">22.21 a 22.5</t>
  </si>
  <si>
    <t xml:space="preserve">114.173</t>
  </si>
  <si>
    <t xml:space="preserve">servicio</t>
  </si>
  <si>
    <t xml:space="preserve">Tipo de servicio del hospital incluido en la tabla.</t>
  </si>
  <si>
    <t xml:space="preserve">A&amp;E (urgencias)</t>
  </si>
  <si>
    <t xml:space="preserve">Constante 'A&amp;E (urgencias)'.</t>
  </si>
  <si>
    <t xml:space="preserve">¿Qué servicio ofrece?</t>
  </si>
  <si>
    <t xml:space="preserve">P05</t>
  </si>
  <si>
    <t xml:space="preserve">P</t>
  </si>
  <si>
    <t xml:space="preserve">ubicacion_en_tierra</t>
  </si>
  <si>
    <t xml:space="preserve">Indica si el punto cae dentro de un polígono DCCA (Verdadero) o se asignó al más cercano (Falso).</t>
  </si>
  <si>
    <t xml:space="preserve">Unión espacial: distancia 0 = dentro; &gt;0 y ≤1 km = asignado al más cercano.</t>
  </si>
  <si>
    <t xml:space="preserve">¿Es confiable la asignación territorial del punto?</t>
  </si>
  <si>
    <t xml:space="preserve">curated/infraestructura/paradas_transporte.csv</t>
  </si>
  <si>
    <t xml:space="preserve">id_parada</t>
  </si>
  <si>
    <t xml:space="preserve">stopList key</t>
  </si>
  <si>
    <t xml:space="preserve">Identificador único de la parada en la base consolidada de transporte.</t>
  </si>
  <si>
    <t xml:space="preserve">Texto libre (15285 valores distintos)</t>
  </si>
  <si>
    <t xml:space="preserve">Copiado; se excluyen paradas sin rutas activas.</t>
  </si>
  <si>
    <t xml:space="preserve">¿Qué parada es?</t>
  </si>
  <si>
    <t xml:space="preserve">Texto libre (13109 valores distintos)</t>
  </si>
  <si>
    <r>
      <rPr>
        <sz val="10"/>
        <rFont val="Noto Sans CJK SC"/>
        <family val="2"/>
      </rPr>
      <t xml:space="preserve">油麻地眾坊街 </t>
    </r>
    <r>
      <rPr>
        <sz val="10"/>
        <rFont val="Arial"/>
        <family val="2"/>
        <charset val="1"/>
      </rPr>
      <t xml:space="preserve">(YT545)</t>
    </r>
  </si>
  <si>
    <t xml:space="preserve">Texto libre (13114 valores distintos)</t>
  </si>
  <si>
    <t xml:space="preserve">22.21 a 22.55</t>
  </si>
  <si>
    <t xml:space="preserve">operadores</t>
  </si>
  <si>
    <t xml:space="preserve">routeList[].co</t>
  </si>
  <si>
    <t xml:space="preserve">Operadores que atienden la parada, separados por '|'.</t>
  </si>
  <si>
    <t xml:space="preserve">kmb</t>
  </si>
  <si>
    <t xml:space="preserve">ctb, fortuneferry, gmb, hkkf, kmb, lightRail, lrtfeeder, mtr, nlb, sunferry</t>
  </si>
  <si>
    <t xml:space="preserve">Agregados a partir de todas las rutas que pasan por la parada.</t>
  </si>
  <si>
    <t xml:space="preserve">¿Qué empresas sirven esta parada?</t>
  </si>
  <si>
    <t xml:space="preserve">modos</t>
  </si>
  <si>
    <t xml:space="preserve">(derivado de co)</t>
  </si>
  <si>
    <t xml:space="preserve">Modos de transporte presentes en la parada, separados por '|'.</t>
  </si>
  <si>
    <t xml:space="preserve">bus, ferry, metro_mtr, minibus, tren_ligero</t>
  </si>
  <si>
    <t xml:space="preserve">Operador → modo (kmb/ctb/nlb/lrtfeeder=bus, gmb=minibús, mtr=metro, lightRail=tren ligero, ferris=ferry).</t>
  </si>
  <si>
    <t xml:space="preserve">¿Qué tipo de transporte hay en cada zona?</t>
  </si>
  <si>
    <t xml:space="preserve">curated/sensores/aqhi_estaciones_snapshot.csv</t>
  </si>
  <si>
    <t xml:space="preserve">estacion</t>
  </si>
  <si>
    <t xml:space="preserve">Station / station_name</t>
  </si>
  <si>
    <t xml:space="preserve">Nombre de la estación de monitoreo.</t>
  </si>
  <si>
    <t xml:space="preserve">Central/Western</t>
  </si>
  <si>
    <t xml:space="preserve">tipo</t>
  </si>
  <si>
    <t xml:space="preserve">type / station_type</t>
  </si>
  <si>
    <t xml:space="preserve">Tipo de estación de monitoreo.</t>
  </si>
  <si>
    <t xml:space="preserve">general</t>
  </si>
  <si>
    <t xml:space="preserve">borde_de_via, general</t>
  </si>
  <si>
    <t xml:space="preserve">Traducido al español (tripulada, automática, boya, viento, pluviómetro, mareógrafo; general, borde de vía).</t>
  </si>
  <si>
    <t xml:space="preserve">¿Qué mide o qué tipo de estación es?</t>
  </si>
  <si>
    <t xml:space="preserve">aqhi</t>
  </si>
  <si>
    <t xml:space="preserve">AQHI</t>
  </si>
  <si>
    <t xml:space="preserve">Índice de Salud de la Calidad del Aire de la estación en la hora publicada.</t>
  </si>
  <si>
    <t xml:space="preserve">¿Cómo está el aire ahora por zona? (Wiki 6, ambiente)</t>
  </si>
  <si>
    <t xml:space="preserve">riesgo_salud</t>
  </si>
  <si>
    <t xml:space="preserve">Health Risk</t>
  </si>
  <si>
    <t xml:space="preserve">Categoría de riesgo para la salud asociada al AQHI.</t>
  </si>
  <si>
    <t xml:space="preserve">Low</t>
  </si>
  <si>
    <t xml:space="preserve">Copiado (Low, Moderate, High, Very High, Serious).</t>
  </si>
  <si>
    <t xml:space="preserve">¿Hay riesgo para la salud por contaminación?</t>
  </si>
  <si>
    <t xml:space="preserve">publicado_hkt</t>
  </si>
  <si>
    <t xml:space="preserve">pubDate</t>
  </si>
  <si>
    <t xml:space="preserve">Fecha y hora de publicación del dato AQHI.</t>
  </si>
  <si>
    <t xml:space="preserve">fecha-hora ISO 8601 (+08:00)</t>
  </si>
  <si>
    <t xml:space="preserve">2026-10-06T07:30:00+08:00</t>
  </si>
  <si>
    <t xml:space="preserve">Convertido a ISO 8601 con zona horaria de HK.</t>
  </si>
  <si>
    <t xml:space="preserve">¿Qué tan reciente es la lectura?</t>
  </si>
  <si>
    <t xml:space="preserve">ubicacion</t>
  </si>
  <si>
    <t xml:space="preserve">Cómo se ubicó la estación en el territorio.</t>
  </si>
  <si>
    <t xml:space="preserve">asignada al distrito (sin coordenada exacta)</t>
  </si>
  <si>
    <t xml:space="preserve">Constante: asignada al distrito por nombre, sin coordenada.</t>
  </si>
  <si>
    <t xml:space="preserve">¿Se puede ubicar la estación con precisión?</t>
  </si>
  <si>
    <t xml:space="preserve">curated/sensores/distritos_sensores.csv</t>
  </si>
  <si>
    <t xml:space="preserve">Conteo tras unión espacial.</t>
  </si>
  <si>
    <t xml:space="preserve">Conteo por distrito asignado.</t>
  </si>
  <si>
    <t xml:space="preserve">Promedio de estaciones tipo general; vacío si el distrito no tiene estación.</t>
  </si>
  <si>
    <t xml:space="preserve">curated/sensores/estaciones_hko.csv</t>
  </si>
  <si>
    <t xml:space="preserve">Hong Kong Observatory</t>
  </si>
  <si>
    <t xml:space="preserve">Texto libre (82 valores distintos)</t>
  </si>
  <si>
    <t xml:space="preserve">HKO</t>
  </si>
  <si>
    <t xml:space="preserve">Texto libre (84 valores distintos)</t>
  </si>
  <si>
    <t xml:space="preserve">tripulada</t>
  </si>
  <si>
    <t xml:space="preserve">automatica, boya, mareografo, pluviometro, tripulada, viento</t>
  </si>
  <si>
    <t xml:space="preserve">22.3019</t>
  </si>
  <si>
    <t xml:space="preserve">114.174</t>
  </si>
  <si>
    <t xml:space="preserve">elevacion_m</t>
  </si>
  <si>
    <t xml:space="preserve">Elevation (m)</t>
  </si>
  <si>
    <t xml:space="preserve">Altura de la estación sobre el nivel medio del mar.</t>
  </si>
  <si>
    <t xml:space="preserve">32</t>
  </si>
  <si>
    <t xml:space="preserve">3 a 955</t>
  </si>
  <si>
    <t xml:space="preserve">Copiado; vacío en mareógrafos.</t>
  </si>
  <si>
    <t xml:space="preserve">¿A qué altura mide la estación? (Wiki 6.1)</t>
  </si>
  <si>
    <t xml:space="preserve">inicio_operacion</t>
  </si>
  <si>
    <t xml:space="preserve">First operation</t>
  </si>
  <si>
    <t xml:space="preserve">Fecha de inicio de operación de la estación.</t>
  </si>
  <si>
    <t xml:space="preserve">fecha (DD/MM/AAAA)</t>
  </si>
  <si>
    <t xml:space="preserve">01/01/1884</t>
  </si>
  <si>
    <t xml:space="preserve">Texto libre (75 valores distintos)</t>
  </si>
  <si>
    <t xml:space="preserve">Copiado como texto.</t>
  </si>
  <si>
    <t xml:space="preserve">¿Desde cuándo hay datos de la estación?</t>
  </si>
  <si>
    <t xml:space="preserve">E20</t>
  </si>
  <si>
    <t xml:space="preserve">F08; F07</t>
  </si>
  <si>
    <t xml:space="preserve">curated/sensores/estaciones_hko_csdi_control_calidad.csv</t>
  </si>
  <si>
    <t xml:space="preserve">station_en</t>
  </si>
  <si>
    <t xml:space="preserve">AutomaticWeatherStation_en</t>
  </si>
  <si>
    <t xml:space="preserve">Nombre de la estación en la capa espacial CSDI.</t>
  </si>
  <si>
    <t xml:space="preserve">Chek Lap Kok</t>
  </si>
  <si>
    <t xml:space="preserve">Texto libre (26 valores distintos)</t>
  </si>
  <si>
    <t xml:space="preserve">¿Coinciden las estaciones de las dos fuentes?</t>
  </si>
  <si>
    <t xml:space="preserve">Hong Kong International Airport</t>
  </si>
  <si>
    <t xml:space="preserve">dist_m</t>
  </si>
  <si>
    <t xml:space="preserve">Distancia entre la coordenada CSDI y la de la lista HKO para la misma estación.</t>
  </si>
  <si>
    <t xml:space="preserve">0.1</t>
  </si>
  <si>
    <t xml:space="preserve">0 a 300</t>
  </si>
  <si>
    <t xml:space="preserve">Vecino más cercano en EPSG:2326.</t>
  </si>
  <si>
    <t xml:space="preserve">¿Son confiables las coordenadas de las estaciones?</t>
  </si>
  <si>
    <t xml:space="preserve">public/data/panorama.json</t>
  </si>
  <si>
    <t xml:space="preserve">kpis.poblacion_censo_2021</t>
  </si>
  <si>
    <t xml:space="preserve">t_pop (suma)</t>
  </si>
  <si>
    <t xml:space="preserve">Población total de los 18 distritos en el Censo 2021.</t>
  </si>
  <si>
    <t xml:space="preserve">7411945</t>
  </si>
  <si>
    <t xml:space="preserve">Suma de t_pop de los 18 distritos (excluye población marina).</t>
  </si>
  <si>
    <t xml:space="preserve">¿Cuánta gente vive en Hong Kong? (Wiki 1)</t>
  </si>
  <si>
    <t xml:space="preserve">kpis.poblacion_tierra_mitad_anio_2025</t>
  </si>
  <si>
    <t xml:space="preserve">my_lp (suma, 2025)</t>
  </si>
  <si>
    <t xml:space="preserve">Población terrestre de Hong Kong a mitad de 2025.</t>
  </si>
  <si>
    <t xml:space="preserve">7497900</t>
  </si>
  <si>
    <t xml:space="preserve">Suma de my_lp 2025 de los 18 distritos.</t>
  </si>
  <si>
    <t xml:space="preserve">¿Cuánta gente vive hoy en Hong Kong? (Wiki 1)</t>
  </si>
  <si>
    <t xml:space="preserve">kpis.hogares_2021</t>
  </si>
  <si>
    <t xml:space="preserve">dh (suma)</t>
  </si>
  <si>
    <t xml:space="preserve">Total de hogares domésticos en 2021.</t>
  </si>
  <si>
    <t xml:space="preserve">2673714</t>
  </si>
  <si>
    <t xml:space="preserve">Suma de dh.</t>
  </si>
  <si>
    <t xml:space="preserve">¿Cuántos hogares hay en la ciudad?</t>
  </si>
  <si>
    <t xml:space="preserve">kpis.area_terrestre_km2</t>
  </si>
  <si>
    <t xml:space="preserve">Area (km²) (suma)</t>
  </si>
  <si>
    <t xml:space="preserve">Superficie terrestre total de los 18 distritos.</t>
  </si>
  <si>
    <t xml:space="preserve">1112.78</t>
  </si>
  <si>
    <t xml:space="preserve">Suma del área oficial por distrito.</t>
  </si>
  <si>
    <t xml:space="preserve">¿Qué tan grande es el territorio? (Wiki 6.5)</t>
  </si>
  <si>
    <t xml:space="preserve">kpis.densidad_media_hab_km2</t>
  </si>
  <si>
    <t xml:space="preserve">Densidad media de la ciudad.</t>
  </si>
  <si>
    <t xml:space="preserve">6661</t>
  </si>
  <si>
    <t xml:space="preserve">Población 2021 total / área terrestre total.</t>
  </si>
  <si>
    <t xml:space="preserve">¿Qué tan densa es Hong Kong? (Wiki 1.2)</t>
  </si>
  <si>
    <t xml:space="preserve">kpis.pct_65_mas_2021</t>
  </si>
  <si>
    <t xml:space="preserve">age_5 / t_pop (sumas)</t>
  </si>
  <si>
    <t xml:space="preserve">Porcentaje de la población con 65 años o más en 2021.</t>
  </si>
  <si>
    <t xml:space="preserve">19.58</t>
  </si>
  <si>
    <t xml:space="preserve">100 × suma age_5 / suma t_pop (incluye empleadas domésticas).</t>
  </si>
  <si>
    <t xml:space="preserve">¿Qué tan envejecida está la ciudad? (Wiki 1.3)</t>
  </si>
  <si>
    <t xml:space="preserve">kpis.ingreso_mediano_hogar_rango_distritos_2025</t>
  </si>
  <si>
    <t xml:space="preserve">ma_hh (mín. y máx., 2025)</t>
  </si>
  <si>
    <t xml:space="preserve">Ingreso mediano del hogar del distrito más pobre y del más rico en 2025.</t>
  </si>
  <si>
    <t xml:space="preserve">[24900, 45000]</t>
  </si>
  <si>
    <t xml:space="preserve">lista de 2 valores ≥ 0</t>
  </si>
  <si>
    <t xml:space="preserve">Mínimo y máximo de ma_hh 2025 entre distritos.</t>
  </si>
  <si>
    <t xml:space="preserve">¿Qué tan grande es la brecha de ingreso entre distritos? (Wiki 1.7)</t>
  </si>
  <si>
    <t xml:space="preserve">kpis.pib_per_capita_usd_2025</t>
  </si>
  <si>
    <t xml:space="preserve">PCAGDPHKA646NWDB (2025)</t>
  </si>
  <si>
    <t xml:space="preserve">PIB per cápita de 2025 en dólares corrientes.</t>
  </si>
  <si>
    <t xml:space="preserve">56983.0</t>
  </si>
  <si>
    <t xml:space="preserve">Último año de la serie, redondeado.</t>
  </si>
  <si>
    <t xml:space="preserve">¿Qué tan rica es la economía? (Wiki 3.1)</t>
  </si>
  <si>
    <t xml:space="preserve">kpis.inflacion_ipc_2025_pct</t>
  </si>
  <si>
    <t xml:space="preserve">FPCPITOTLZGHKG (2025)</t>
  </si>
  <si>
    <t xml:space="preserve">Inflación al consumidor de 2025.</t>
  </si>
  <si>
    <t xml:space="preserve">1.44</t>
  </si>
  <si>
    <t xml:space="preserve">−5 a 10</t>
  </si>
  <si>
    <t xml:space="preserve">Último año de la serie, 2 decimales.</t>
  </si>
  <si>
    <t xml:space="preserve">¿Cómo está el costo de vida?</t>
  </si>
  <si>
    <t xml:space="preserve">kpis.paradas_transporte_publico</t>
  </si>
  <si>
    <t xml:space="preserve">Número de paradas de transporte público con rutas.</t>
  </si>
  <si>
    <t xml:space="preserve">15285</t>
  </si>
  <si>
    <t xml:space="preserve">Conteo de paradas con al menos una ruta.</t>
  </si>
  <si>
    <t xml:space="preserve">¿Qué tan extensa es la red de transporte?</t>
  </si>
  <si>
    <t xml:space="preserve">kpis.estaciones_mtr</t>
  </si>
  <si>
    <t xml:space="preserve">Número de estaciones del MTR.</t>
  </si>
  <si>
    <t xml:space="preserve">97</t>
  </si>
  <si>
    <t xml:space="preserve">Conteo de paradas del operador mtr.</t>
  </si>
  <si>
    <t xml:space="preserve">¿Qué tan extensa es la red de metro?</t>
  </si>
  <si>
    <t xml:space="preserve">kpis.hospitales_urgencias</t>
  </si>
  <si>
    <t xml:space="preserve">Número de hospitales públicos con urgencias.</t>
  </si>
  <si>
    <t xml:space="preserve">Conteo de filas de F06.</t>
  </si>
  <si>
    <t xml:space="preserve">¿Cuántas urgencias públicas hay? (Wiki 1.8)</t>
  </si>
  <si>
    <t xml:space="preserve">kpis.estaciones_meteorologicas</t>
  </si>
  <si>
    <t xml:space="preserve">Número de estaciones del Observatorio.</t>
  </si>
  <si>
    <t xml:space="preserve">86</t>
  </si>
  <si>
    <t xml:space="preserve">Conteo de filas de F07.</t>
  </si>
  <si>
    <t xml:space="preserve">¿Qué tan monitoreado está el clima?</t>
  </si>
  <si>
    <t xml:space="preserve">kpis.estaciones_calidad_aire</t>
  </si>
  <si>
    <t xml:space="preserve">Número de estaciones de calidad del aire.</t>
  </si>
  <si>
    <t xml:space="preserve">Conteo de filas de F09.</t>
  </si>
  <si>
    <t xml:space="preserve">¿Qué tan monitoreado está el aire?</t>
  </si>
  <si>
    <t xml:space="preserve">kpis.noticias_monitoreadas</t>
  </si>
  <si>
    <t xml:space="preserve">Número de titulares en la escucha.</t>
  </si>
  <si>
    <t xml:space="preserve">Conteo de filas de F16.</t>
  </si>
  <si>
    <t xml:space="preserve">¿Cuánta conversación pública se está siguiendo?</t>
  </si>
  <si>
    <t xml:space="preserve">F02; F03; F04</t>
  </si>
  <si>
    <t xml:space="preserve">destacados.mas_poblado</t>
  </si>
  <si>
    <t xml:space="preserve">Nombre en español del distrito que encabeza «mas poblado».</t>
  </si>
  <si>
    <t xml:space="preserve">Sha Tin</t>
  </si>
  <si>
    <t xml:space="preserve">Uno de los 18 nombres de distrito</t>
  </si>
  <si>
    <t xml:space="preserve">Distrito con el valor máximo (o mínimo) del indicador en el atlas.</t>
  </si>
  <si>
    <t xml:space="preserve">destacados.mas_denso</t>
  </si>
  <si>
    <t xml:space="preserve">Nombre en español del distrito que encabeza «mas denso».</t>
  </si>
  <si>
    <t xml:space="preserve">Kwun Tong</t>
  </si>
  <si>
    <t xml:space="preserve">¿Cuál es el distrito más denso? (Wiki 1.2)</t>
  </si>
  <si>
    <t xml:space="preserve">destacados.mayor_ingreso</t>
  </si>
  <si>
    <t xml:space="preserve">Nombre en español del distrito que encabeza «mayor ingreso».</t>
  </si>
  <si>
    <t xml:space="preserve">¿Cuál es el distrito más rico? (Wiki 1.7)</t>
  </si>
  <si>
    <t xml:space="preserve">destacados.menor_ingreso</t>
  </si>
  <si>
    <t xml:space="preserve">Nombre en español del distrito que encabeza «menor ingreso».</t>
  </si>
  <si>
    <t xml:space="preserve">¿Cuál es el distrito más pobre? (Wiki 1.7)</t>
  </si>
  <si>
    <t xml:space="preserve">destacados.mas_envejecido</t>
  </si>
  <si>
    <t xml:space="preserve">Nombre en español del distrito que encabeza «mas envejecido».</t>
  </si>
  <si>
    <t xml:space="preserve">Este</t>
  </si>
  <si>
    <t xml:space="preserve">¿Cuál es el distrito más envejecido? (Wiki 1.3)</t>
  </si>
  <si>
    <t xml:space="preserve">destacados.mayor_crecimiento_poblacion_2016_2025</t>
  </si>
  <si>
    <t xml:space="preserve">Nombre en español del distrito que encabeza «mayor crecimiento poblacion 2016 2025».</t>
  </si>
  <si>
    <t xml:space="preserve">Islas</t>
  </si>
  <si>
    <t xml:space="preserve">¿Qué distrito crece más? (Wiki 1.1)</t>
  </si>
  <si>
    <t xml:space="preserve">3. Bitácora de la búsqueda con IA</t>
  </si>
  <si>
    <t xml:space="preserve">Qué le encargaron a la IA y qué pasó con lo que respondió. Incluyan los errores: valen tanto como los aciertos.</t>
  </si>
  <si>
    <t xml:space="preserve">#</t>
  </si>
  <si>
    <t xml:space="preserve">Herramienta de IA</t>
  </si>
  <si>
    <t xml:space="preserve">Qué le encargaron</t>
  </si>
  <si>
    <t xml:space="preserve">Qué respondió (resumen)</t>
  </si>
  <si>
    <t xml:space="preserve">Cómo lo comprobaron</t>
  </si>
  <si>
    <t xml:space="preserve">Resultado</t>
  </si>
  <si>
    <t xml:space="preserve">ID fuente que salió de ahí</t>
  </si>
  <si>
    <t xml:space="preserve">Qué aprendieron</t>
  </si>
  <si>
    <t xml:space="preserve">Claude</t>
  </si>
  <si>
    <t xml:space="preserve">Encontrar una fuente abierta y sin llave que mida cuánto interés despierta Medellín fuera de la ciudad</t>
  </si>
  <si>
    <t xml:space="preserve">Propuso Google Trends y la API de vistas de Wikipedia</t>
  </si>
  <si>
    <t xml:space="preserve">Probamos las dos: Google Trends no tiene API abierta ni licencia de reutilización; la de Wikipedia respondió con curl y declara CC0</t>
  </si>
  <si>
    <t xml:space="preserve">Parcial</t>
  </si>
  <si>
    <t xml:space="preserve">Que la IA nombre una fuente no quiere decir que se pueda usar: la licencia y el acceso se comprueban uno mismo.</t>
  </si>
  <si>
    <t xml:space="preserve">Claude (Anthropic)</t>
  </si>
  <si>
    <t xml:space="preserve">Leer la página de referencia Cerebro Lima para copiar su estructura de pestañas</t>
  </si>
  <si>
    <t xml:space="preserve">No pudo abrirla: el sitio bloquea acceso automatizado. Armó la estructura con los nombres de pestaña que le dimos</t>
  </si>
  <si>
    <t xml:space="preserve">Revisamos que las 10 pestañas del lago coinciden con las que pedimos</t>
  </si>
  <si>
    <t xml:space="preserve">Si la IA no puede ver la referencia, hay que darle la estructura explícita y confirmar su interpretación (p. ej. «atlas_distribuidos»).</t>
  </si>
  <si>
    <t xml:space="preserve">Conseguir los límites de los 18 distritos de Hong Kong</t>
  </si>
  <si>
    <t xml:space="preserve">Propuso geoBoundaries y la colección de mapas de Highcharts</t>
  </si>
  <si>
    <t xml:space="preserve">Probamos las rutas: geoBoundaries dio 404 y Highcharts no trae Hong Kong</t>
  </si>
  <si>
    <t xml:space="preserve">Inventado</t>
  </si>
  <si>
    <t xml:space="preserve">F20, F21</t>
  </si>
  <si>
    <t xml:space="preserve">La IA arma rutas «plausibles» que no existen; cada URL se prueba antes de anotarla.</t>
  </si>
  <si>
    <t xml:space="preserve">Mismo encargo: límites de distritos</t>
  </si>
  <si>
    <t xml:space="preserve">Encontró el GeoJSON de circunscripciones DCCA 2019 de la EAC y disolvió los 18 distritos</t>
  </si>
  <si>
    <t xml:space="preserve">Contamos 452 circunscripciones y 18 distritos; comparamos áreas con Wikipedia</t>
  </si>
  <si>
    <t xml:space="preserve">Correcto</t>
  </si>
  <si>
    <t xml:space="preserve">Los polígonos administrativos incluyen mar: para densidad hay que usar el área terrestre oficial (F04).</t>
  </si>
  <si>
    <t xml:space="preserve">Traer el Censo 2021 por distrito</t>
  </si>
  <si>
    <t xml:space="preserve">Primero el XLSX/ZIP oficial (no lo pudo leer), luego la API get.php (error de parámetro) y al final el WFS de CSDI</t>
  </si>
  <si>
    <t xml:space="preserve">Sumamos grupos de edad y tipos de vivienda: igualan la población total en los 18 distritos</t>
  </si>
  <si>
    <t xml:space="preserve">F02, F18, F19</t>
  </si>
  <si>
    <t xml:space="preserve">Hubo que darle varias vueltas; el WFS fue la vía que funcionó. Pedir validaciones de suma es barato y atrapa errores.</t>
  </si>
  <si>
    <t xml:space="preserve">Serie anual de ingreso y población por distrito</t>
  </si>
  <si>
    <t xml:space="preserve">Usó la Encuesta General de Hogares 2016–2025 vía CSDI</t>
  </si>
  <si>
    <t xml:space="preserve">La población 2021 de la serie coincide con el censo; ranking de ingreso igual al de la wiki</t>
  </si>
  <si>
    <t xml:space="preserve">Hay datos hasta 2025, más nuevos de lo que esperábamos.</t>
  </si>
  <si>
    <t xml:space="preserve">Red de transporte público con coordenadas</t>
  </si>
  <si>
    <t xml:space="preserve">Encontró la compilación hk-bus-crawling con 15.287 paradas de todos los operadores</t>
  </si>
  <si>
    <t xml:space="preserve">Revisamos licencia (GPL-2.0) y que las paradas caigan en tierra: solo 3 se asignaron por cercanía</t>
  </si>
  <si>
    <t xml:space="preserve">Las compilaciones comunitarias ahorran mucho trabajo, pero su licencia debe anotarse.</t>
  </si>
  <si>
    <t xml:space="preserve">Hospitales con urgencias</t>
  </si>
  <si>
    <t xml:space="preserve">Tomó nombres y coordenadas de un paquete npm (ane-hk)</t>
  </si>
  <si>
    <t xml:space="preserve">Revisamos que son los 18 hospitales A&amp;E; no contrastamos coordenadas con una fuente oficial</t>
  </si>
  <si>
    <t xml:space="preserve">Falta el nuevo hospital de Kai Tak (abre en octubre de 2026, según prensa). Hay que buscar la lista oficial de la HA.</t>
  </si>
  <si>
    <t xml:space="preserve">Estaciones meteorológicas con coordenadas</t>
  </si>
  <si>
    <t xml:space="preserve">Leyó la tabla del Observatorio (86 estaciones, en grados-minutos-segundos)</t>
  </si>
  <si>
    <t xml:space="preserve">Cruzamos con la capa CSDI: 24 de 26 a menos de 1 m; Tai Po a 300 m por reubicación</t>
  </si>
  <si>
    <t xml:space="preserve">F07, F08</t>
  </si>
  <si>
    <t xml:space="preserve">Tener dos fuentes de la misma cosa permite medir la calidad de las coordenadas.</t>
  </si>
  <si>
    <t xml:space="preserve">Calidad del aire actual</t>
  </si>
  <si>
    <t xml:space="preserve">Leyó el RSS del AQHI de 18 estaciones</t>
  </si>
  <si>
    <t xml:space="preserve">La hora publicada (2026-10-06 07:30 HKT) parece de casi un día antes de la consulta</t>
  </si>
  <si>
    <t xml:space="preserve">Una captura puntual no sirve para tiempo real: hay que agendar la ingesta y guardar la hora.</t>
  </si>
  <si>
    <t xml:space="preserve">Indicadores macro (PIB per cápita, inflación)</t>
  </si>
  <si>
    <t xml:space="preserve">Propuso la API del Banco Mundial; como no se pudo usar, tomó las series de FRED</t>
  </si>
  <si>
    <t xml:space="preserve">Revisamos que la serie constante coincide con la corriente en 2015 (base 2015, aunque FRED dice 2010)</t>
  </si>
  <si>
    <t xml:space="preserve">F10, F11, F12, F26</t>
  </si>
  <si>
    <t xml:space="preserve">Las etiquetas de las fuentes también pueden estar mal; un control simple lo detecta.</t>
  </si>
  <si>
    <t xml:space="preserve">Delitos y seguridad</t>
  </si>
  <si>
    <t xml:space="preserve">Trajo el CSV mensual de la Policía y el informe Police in Figures 2025</t>
  </si>
  <si>
    <t xml:space="preserve">La suma mensual 2024 (94.948) no cuadra con el anual (94.747); ninguna fuente trae distritos</t>
  </si>
  <si>
    <t xml:space="preserve">F13, F14</t>
  </si>
  <si>
    <t xml:space="preserve">Anotar la diferencia en vez de forzar que cuadre; probablemente son revisiones.</t>
  </si>
  <si>
    <t xml:space="preserve">Escucha: qué se dice de Hong Kong</t>
  </si>
  <si>
    <t xml:space="preserve">Hizo 8 búsquedas por tema, guardó 32 titulares y les calculó tono con un léxico</t>
  </si>
  <si>
    <t xml:space="preserve">Leímos los titulares: «Sham Shui Po needs more…» salía positivo por la palabra «more»; se corrigió el léxico</t>
  </si>
  <si>
    <t xml:space="preserve">F16, F17</t>
  </si>
  <si>
    <t xml:space="preserve">El tono por léxico es una señal gruesa; hay que revisarlo a mano y declararlo como heurístico.</t>
  </si>
  <si>
    <t xml:space="preserve">Comparar el lago con la wiki del grupo</t>
  </si>
  <si>
    <t xml:space="preserve">Hizo tabla de cifras coincidentes y de cobertura por índice</t>
  </si>
  <si>
    <t xml:space="preserve">Recalculamos: delitos 2025, población de Nuevos Territorios y tenencia de vivienda coinciden; el % de 65+ difiere por definición</t>
  </si>
  <si>
    <t xml:space="preserve">F02, F13, F14</t>
  </si>
  <si>
    <t xml:space="preserve">Cifras distintas no siempre son errores: a veces cambian la base (con o sin empleadas domésticas).</t>
  </si>
  <si>
    <t xml:space="preserve">Llenar el diccionario de datos</t>
  </si>
  <si>
    <t xml:space="preserve">Generó el diccionario con un script que perfila cada columna (tipo, ejemplo, vacíos, rango)</t>
  </si>
  <si>
    <t xml:space="preserve">Revisamos una muestra de filas contra los CSV del lago</t>
  </si>
  <si>
    <t xml:space="preserve">Automatizar la parte medible del diccionario evita errores de copia; el significado y la pregunta sí requieren criterio.</t>
  </si>
  <si>
    <t xml:space="preserve">Resumen del lago</t>
  </si>
  <si>
    <t xml:space="preserve">Se calcula solo desde las otras hojas; no cuenta las filas de ejemplo (fila 4).</t>
  </si>
  <si>
    <t xml:space="preserve">Fuentes registradas</t>
  </si>
  <si>
    <t xml:space="preserve">  · integradas al lago</t>
  </si>
  <si>
    <t xml:space="preserve">  · candidatas</t>
  </si>
  <si>
    <t xml:space="preserve">  · que no responden</t>
  </si>
  <si>
    <t xml:space="preserve">  · que no existen (inventadas por la IA)</t>
  </si>
  <si>
    <t xml:space="preserve">  · descartadas</t>
  </si>
  <si>
    <t xml:space="preserve">Fuentes con licencia «no declara» o vacía</t>
  </si>
  <si>
    <t xml:space="preserve">Fuentes con personas identificables o texto libre</t>
  </si>
  <si>
    <t xml:space="preserve">Campos en el diccionario</t>
  </si>
  <si>
    <t xml:space="preserve">  · clasificados como sensibles o dato personal</t>
  </si>
  <si>
    <t xml:space="preserve">  · sin pregunta del sistema asociada</t>
  </si>
  <si>
    <t xml:space="preserve">Encargos a la IA registrados</t>
  </si>
  <si>
    <t xml:space="preserve">  · con respuesta incorrecta o inventada</t>
  </si>
  <si>
    <t xml:space="preserve">Porcentaje de aciertos plenos de la IA</t>
  </si>
</sst>
</file>

<file path=xl/styles.xml><?xml version="1.0" encoding="utf-8"?>
<styleSheet xmlns="http://schemas.openxmlformats.org/spreadsheetml/2006/main">
  <numFmts count="3">
    <numFmt numFmtId="164" formatCode="General"/>
    <numFmt numFmtId="165" formatCode="General"/>
    <numFmt numFmtId="166" formatCode="0%"/>
  </numFmts>
  <fonts count="15">
    <font>
      <sz val="11"/>
      <color theme="1"/>
      <name val="Calibri"/>
      <family val="2"/>
      <charset val="1"/>
    </font>
    <font>
      <sz val="10"/>
      <name val="Arial"/>
      <family val="0"/>
    </font>
    <font>
      <sz val="10"/>
      <name val="Arial"/>
      <family val="0"/>
    </font>
    <font>
      <sz val="10"/>
      <name val="Arial"/>
      <family val="0"/>
    </font>
    <font>
      <b val="true"/>
      <sz val="14"/>
      <color rgb="FF000000"/>
      <name val="Arial"/>
      <family val="2"/>
      <charset val="1"/>
    </font>
    <font>
      <sz val="9"/>
      <color rgb="FF555555"/>
      <name val="Arial"/>
      <family val="2"/>
      <charset val="1"/>
    </font>
    <font>
      <sz val="10"/>
      <color rgb="FF000000"/>
      <name val="Arial"/>
      <family val="2"/>
      <charset val="1"/>
    </font>
    <font>
      <b val="true"/>
      <sz val="11"/>
      <color rgb="FF000000"/>
      <name val="Arial"/>
      <family val="2"/>
      <charset val="1"/>
    </font>
    <font>
      <b val="true"/>
      <sz val="14"/>
      <name val="Arial"/>
      <family val="2"/>
      <charset val="1"/>
    </font>
    <font>
      <i val="true"/>
      <sz val="9"/>
      <color rgb="FF555555"/>
      <name val="Arial"/>
      <family val="2"/>
      <charset val="1"/>
    </font>
    <font>
      <b val="true"/>
      <sz val="10"/>
      <color rgb="FFFFFFFF"/>
      <name val="Arial"/>
      <family val="2"/>
      <charset val="1"/>
    </font>
    <font>
      <i val="true"/>
      <sz val="9"/>
      <color rgb="FF666666"/>
      <name val="Arial"/>
      <family val="2"/>
      <charset val="1"/>
    </font>
    <font>
      <sz val="10"/>
      <name val="Arial"/>
      <family val="2"/>
      <charset val="1"/>
    </font>
    <font>
      <sz val="10"/>
      <name val="Noto Sans CJK SC"/>
      <family val="2"/>
    </font>
    <font>
      <b val="true"/>
      <sz val="10"/>
      <name val="Arial"/>
      <family val="2"/>
      <charset val="1"/>
    </font>
  </fonts>
  <fills count="5">
    <fill>
      <patternFill patternType="none"/>
    </fill>
    <fill>
      <patternFill patternType="gray125"/>
    </fill>
    <fill>
      <patternFill patternType="solid">
        <fgColor rgb="FFFFF7CC"/>
        <bgColor rgb="FFEDEDED"/>
      </patternFill>
    </fill>
    <fill>
      <patternFill patternType="solid">
        <fgColor rgb="FF1F1F1F"/>
        <bgColor rgb="FF333300"/>
      </patternFill>
    </fill>
    <fill>
      <patternFill patternType="solid">
        <fgColor rgb="FFEDEDED"/>
        <bgColor rgb="FFFFF7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6" fillId="2" borderId="0" xfId="0" applyFont="true" applyBorder="false" applyAlignment="true" applyProtection="false">
      <alignment horizontal="general" vertical="bottom"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general" vertical="center" textRotation="0" wrapText="tru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general" vertical="top" textRotation="0" wrapText="true" indent="0" shrinkToFit="false"/>
      <protection locked="true" hidden="false"/>
    </xf>
    <xf numFmtId="164" fontId="13" fillId="2"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2"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7CC"/>
      <rgbColor rgb="FFEDEDED"/>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555555"/>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4"/>
    <col collapsed="false" customWidth="true" hidden="false" outlineLevel="0" max="2" min="2" style="0" width="110"/>
  </cols>
  <sheetData>
    <row r="1" customFormat="false" ht="18.75" hidden="false" customHeight="true" outlineLevel="0" collapsed="false">
      <c r="B1" s="1" t="s">
        <v>0</v>
      </c>
    </row>
    <row r="2" customFormat="false" ht="15" hidden="false" customHeight="false" outlineLevel="0" collapsed="false">
      <c r="B2" s="2" t="s">
        <v>1</v>
      </c>
    </row>
    <row r="3" customFormat="false" ht="15" hidden="false" customHeight="false" outlineLevel="0" collapsed="false">
      <c r="B3" s="3"/>
    </row>
    <row r="4" customFormat="false" ht="15.75" hidden="false" customHeight="true" outlineLevel="0" collapsed="false">
      <c r="B4" s="4" t="s">
        <v>2</v>
      </c>
    </row>
    <row r="5" customFormat="false" ht="15" hidden="false" customHeight="false" outlineLevel="0" collapsed="false">
      <c r="B5" s="5" t="s">
        <v>3</v>
      </c>
    </row>
    <row r="6" customFormat="false" ht="15" hidden="false" customHeight="false" outlineLevel="0" collapsed="false">
      <c r="B6" s="5" t="s">
        <v>4</v>
      </c>
    </row>
    <row r="7" customFormat="false" ht="15" hidden="false" customHeight="false" outlineLevel="0" collapsed="false">
      <c r="B7" s="5" t="s">
        <v>5</v>
      </c>
    </row>
    <row r="8" customFormat="false" ht="15" hidden="false" customHeight="false" outlineLevel="0" collapsed="false">
      <c r="B8" s="3"/>
    </row>
    <row r="9" customFormat="false" ht="15.75" hidden="false" customHeight="true" outlineLevel="0" collapsed="false">
      <c r="B9" s="4" t="s">
        <v>6</v>
      </c>
    </row>
    <row r="10" customFormat="false" ht="28.5" hidden="false" customHeight="true" outlineLevel="0" collapsed="false">
      <c r="B10" s="3" t="s">
        <v>7</v>
      </c>
    </row>
    <row r="11" customFormat="false" ht="15" hidden="false" customHeight="false" outlineLevel="0" collapsed="false">
      <c r="B11" s="3" t="s">
        <v>8</v>
      </c>
    </row>
    <row r="12" customFormat="false" ht="15" hidden="false" customHeight="false" outlineLevel="0" collapsed="false">
      <c r="B12" s="3" t="s">
        <v>9</v>
      </c>
    </row>
    <row r="13" customFormat="false" ht="15" hidden="false" customHeight="false" outlineLevel="0" collapsed="false">
      <c r="B13" s="3" t="s">
        <v>10</v>
      </c>
    </row>
    <row r="14" customFormat="false" ht="15" hidden="false" customHeight="false" outlineLevel="0" collapsed="false">
      <c r="B14" s="3"/>
    </row>
    <row r="15" customFormat="false" ht="15.75" hidden="false" customHeight="true" outlineLevel="0" collapsed="false">
      <c r="B15" s="4" t="s">
        <v>11</v>
      </c>
    </row>
    <row r="16" customFormat="false" ht="28.5" hidden="false" customHeight="true" outlineLevel="0" collapsed="false">
      <c r="B16" s="3" t="s">
        <v>12</v>
      </c>
    </row>
    <row r="17" customFormat="false" ht="15" hidden="false" customHeight="false" outlineLevel="0" collapsed="false">
      <c r="B17" s="3" t="s">
        <v>13</v>
      </c>
    </row>
    <row r="18" customFormat="false" ht="15" hidden="false" customHeight="false" outlineLevel="0" collapsed="false">
      <c r="B18" s="3" t="s">
        <v>14</v>
      </c>
    </row>
    <row r="19" customFormat="false" ht="15" hidden="false" customHeight="false" outlineLevel="0" collapsed="false">
      <c r="B19" s="3" t="s">
        <v>15</v>
      </c>
    </row>
    <row r="20" customFormat="false" ht="15" hidden="false" customHeight="false" outlineLevel="0" collapsed="false">
      <c r="B20" s="3" t="s">
        <v>16</v>
      </c>
    </row>
    <row r="21" customFormat="false" ht="15" hidden="false" customHeight="false" outlineLevel="0" collapsed="false">
      <c r="B21" s="3"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22"/>
    <col collapsed="false" customWidth="true" hidden="false" outlineLevel="0" max="4" min="4" style="0" width="18"/>
    <col collapsed="false" customWidth="true" hidden="false" outlineLevel="0" max="5" min="5" style="0" width="36"/>
    <col collapsed="false" customWidth="true" hidden="false" outlineLevel="0" max="6" min="6" style="0" width="12"/>
    <col collapsed="false" customWidth="true" hidden="false" outlineLevel="0" max="7" min="7" style="0" width="18"/>
    <col collapsed="false" customWidth="true" hidden="false" outlineLevel="0" max="8" min="8" style="0" width="22"/>
    <col collapsed="false" customWidth="true" hidden="false" outlineLevel="0" max="9" min="9" style="0" width="18"/>
    <col collapsed="false" customWidth="true" hidden="false" outlineLevel="0" max="10" min="10" style="0" width="16"/>
    <col collapsed="false" customWidth="true" hidden="false" outlineLevel="0" max="13" min="11" style="0" width="14"/>
    <col collapsed="false" customWidth="true" hidden="false" outlineLevel="0" max="14" min="14" style="0" width="20"/>
    <col collapsed="false" customWidth="true" hidden="false" outlineLevel="0" max="15" min="15" style="0" width="26"/>
    <col collapsed="false" customWidth="true" hidden="false" outlineLevel="0" max="16" min="16" style="0" width="32"/>
  </cols>
  <sheetData>
    <row r="1" customFormat="false" ht="18" hidden="false" customHeight="true" outlineLevel="0" collapsed="false">
      <c r="A1" s="6" t="s">
        <v>18</v>
      </c>
    </row>
    <row r="2" customFormat="false" ht="15" hidden="false" customHeight="false" outlineLevel="0" collapsed="false">
      <c r="A2" s="7" t="s">
        <v>19</v>
      </c>
    </row>
    <row r="3" customFormat="false" ht="42" hidden="false" customHeight="true" outlineLevel="0" collapsed="false">
      <c r="A3" s="8" t="s">
        <v>20</v>
      </c>
      <c r="B3" s="8" t="s">
        <v>21</v>
      </c>
      <c r="C3" s="8" t="s">
        <v>22</v>
      </c>
      <c r="D3" s="8" t="s">
        <v>23</v>
      </c>
      <c r="E3" s="8" t="s">
        <v>24</v>
      </c>
      <c r="F3" s="8" t="s">
        <v>25</v>
      </c>
      <c r="G3" s="8" t="s">
        <v>26</v>
      </c>
      <c r="H3" s="8" t="s">
        <v>27</v>
      </c>
      <c r="I3" s="8" t="s">
        <v>28</v>
      </c>
      <c r="J3" s="8" t="s">
        <v>29</v>
      </c>
      <c r="K3" s="8" t="s">
        <v>30</v>
      </c>
      <c r="L3" s="8" t="s">
        <v>31</v>
      </c>
      <c r="M3" s="8" t="s">
        <v>32</v>
      </c>
      <c r="N3" s="8" t="s">
        <v>33</v>
      </c>
      <c r="O3" s="8" t="s">
        <v>34</v>
      </c>
      <c r="P3" s="8" t="s">
        <v>35</v>
      </c>
    </row>
    <row r="4" customFormat="false" ht="51.75" hidden="false" customHeight="true" outlineLevel="0" collapsed="false">
      <c r="A4" s="9" t="s">
        <v>36</v>
      </c>
      <c r="B4" s="9" t="s">
        <v>37</v>
      </c>
      <c r="C4" s="9" t="s">
        <v>38</v>
      </c>
      <c r="D4" s="9" t="s">
        <v>39</v>
      </c>
      <c r="E4" s="9" t="s">
        <v>40</v>
      </c>
      <c r="F4" s="9" t="s">
        <v>41</v>
      </c>
      <c r="G4" s="9" t="s">
        <v>42</v>
      </c>
      <c r="H4" s="9" t="s">
        <v>43</v>
      </c>
      <c r="I4" s="9" t="s">
        <v>44</v>
      </c>
      <c r="J4" s="9" t="s">
        <v>45</v>
      </c>
      <c r="K4" s="9" t="s">
        <v>46</v>
      </c>
      <c r="L4" s="9" t="s">
        <v>47</v>
      </c>
      <c r="M4" s="9" t="s">
        <v>48</v>
      </c>
      <c r="N4" s="9" t="s">
        <v>49</v>
      </c>
      <c r="O4" s="9" t="s">
        <v>50</v>
      </c>
      <c r="P4" s="9" t="s">
        <v>51</v>
      </c>
    </row>
    <row r="5" customFormat="false" ht="46.25" hidden="false" customHeight="false" outlineLevel="0" collapsed="false">
      <c r="A5" s="10" t="s">
        <v>36</v>
      </c>
      <c r="B5" s="10" t="s">
        <v>52</v>
      </c>
      <c r="C5" s="10" t="s">
        <v>53</v>
      </c>
      <c r="D5" s="10" t="s">
        <v>54</v>
      </c>
      <c r="E5" s="10" t="s">
        <v>55</v>
      </c>
      <c r="F5" s="10" t="s">
        <v>56</v>
      </c>
      <c r="G5" s="10" t="s">
        <v>57</v>
      </c>
      <c r="H5" s="10" t="s">
        <v>58</v>
      </c>
      <c r="I5" s="10" t="s">
        <v>44</v>
      </c>
      <c r="J5" s="10" t="s">
        <v>59</v>
      </c>
      <c r="K5" s="10" t="s">
        <v>60</v>
      </c>
      <c r="L5" s="10" t="s">
        <v>61</v>
      </c>
      <c r="M5" s="10" t="s">
        <v>62</v>
      </c>
      <c r="N5" s="10" t="s">
        <v>49</v>
      </c>
      <c r="O5" s="10" t="s">
        <v>63</v>
      </c>
      <c r="P5" s="10" t="s">
        <v>64</v>
      </c>
    </row>
    <row r="6" customFormat="false" ht="68.65" hidden="false" customHeight="false" outlineLevel="0" collapsed="false">
      <c r="A6" s="10" t="s">
        <v>65</v>
      </c>
      <c r="B6" s="10" t="s">
        <v>66</v>
      </c>
      <c r="C6" s="10" t="s">
        <v>67</v>
      </c>
      <c r="D6" s="10" t="s">
        <v>54</v>
      </c>
      <c r="E6" s="10" t="s">
        <v>68</v>
      </c>
      <c r="F6" s="10" t="s">
        <v>69</v>
      </c>
      <c r="G6" s="10" t="s">
        <v>42</v>
      </c>
      <c r="H6" s="10" t="s">
        <v>70</v>
      </c>
      <c r="I6" s="10" t="s">
        <v>71</v>
      </c>
      <c r="J6" s="10" t="s">
        <v>72</v>
      </c>
      <c r="K6" s="10" t="s">
        <v>73</v>
      </c>
      <c r="L6" s="10" t="s">
        <v>61</v>
      </c>
      <c r="M6" s="10" t="s">
        <v>62</v>
      </c>
      <c r="N6" s="10" t="s">
        <v>49</v>
      </c>
      <c r="O6" s="10" t="s">
        <v>74</v>
      </c>
      <c r="P6" s="10" t="s">
        <v>75</v>
      </c>
    </row>
    <row r="7" customFormat="false" ht="68.65" hidden="false" customHeight="false" outlineLevel="0" collapsed="false">
      <c r="A7" s="10" t="s">
        <v>76</v>
      </c>
      <c r="B7" s="10" t="s">
        <v>77</v>
      </c>
      <c r="C7" s="10" t="s">
        <v>67</v>
      </c>
      <c r="D7" s="10" t="s">
        <v>54</v>
      </c>
      <c r="E7" s="10" t="s">
        <v>78</v>
      </c>
      <c r="F7" s="10" t="s">
        <v>69</v>
      </c>
      <c r="G7" s="10" t="s">
        <v>42</v>
      </c>
      <c r="H7" s="10" t="s">
        <v>79</v>
      </c>
      <c r="I7" s="10" t="s">
        <v>71</v>
      </c>
      <c r="J7" s="10" t="s">
        <v>72</v>
      </c>
      <c r="K7" s="10" t="s">
        <v>80</v>
      </c>
      <c r="L7" s="10" t="s">
        <v>81</v>
      </c>
      <c r="M7" s="10" t="s">
        <v>62</v>
      </c>
      <c r="N7" s="10" t="s">
        <v>49</v>
      </c>
      <c r="O7" s="10" t="s">
        <v>82</v>
      </c>
      <c r="P7" s="10" t="s">
        <v>83</v>
      </c>
    </row>
    <row r="8" customFormat="false" ht="35.05" hidden="false" customHeight="false" outlineLevel="0" collapsed="false">
      <c r="A8" s="10" t="s">
        <v>84</v>
      </c>
      <c r="B8" s="10" t="s">
        <v>85</v>
      </c>
      <c r="C8" s="10" t="s">
        <v>86</v>
      </c>
      <c r="D8" s="10" t="s">
        <v>39</v>
      </c>
      <c r="E8" s="10" t="s">
        <v>87</v>
      </c>
      <c r="F8" s="10" t="s">
        <v>88</v>
      </c>
      <c r="G8" s="10" t="s">
        <v>89</v>
      </c>
      <c r="H8" s="10" t="s">
        <v>90</v>
      </c>
      <c r="I8" s="10" t="s">
        <v>44</v>
      </c>
      <c r="J8" s="10" t="s">
        <v>72</v>
      </c>
      <c r="K8" s="10" t="s">
        <v>91</v>
      </c>
      <c r="L8" s="10" t="s">
        <v>92</v>
      </c>
      <c r="M8" s="10" t="s">
        <v>62</v>
      </c>
      <c r="N8" s="10" t="s">
        <v>49</v>
      </c>
      <c r="O8" s="10" t="s">
        <v>93</v>
      </c>
      <c r="P8" s="10" t="s">
        <v>94</v>
      </c>
    </row>
    <row r="9" customFormat="false" ht="35.05" hidden="false" customHeight="false" outlineLevel="0" collapsed="false">
      <c r="A9" s="10" t="s">
        <v>95</v>
      </c>
      <c r="B9" s="10" t="s">
        <v>96</v>
      </c>
      <c r="C9" s="10" t="s">
        <v>97</v>
      </c>
      <c r="D9" s="10" t="s">
        <v>39</v>
      </c>
      <c r="E9" s="10" t="s">
        <v>98</v>
      </c>
      <c r="F9" s="10" t="s">
        <v>41</v>
      </c>
      <c r="G9" s="10" t="s">
        <v>57</v>
      </c>
      <c r="H9" s="10" t="s">
        <v>99</v>
      </c>
      <c r="I9" s="10" t="s">
        <v>44</v>
      </c>
      <c r="J9" s="10" t="s">
        <v>100</v>
      </c>
      <c r="K9" s="10" t="s">
        <v>101</v>
      </c>
      <c r="L9" s="10" t="s">
        <v>92</v>
      </c>
      <c r="M9" s="10" t="s">
        <v>62</v>
      </c>
      <c r="N9" s="10" t="s">
        <v>49</v>
      </c>
      <c r="O9" s="10" t="s">
        <v>102</v>
      </c>
      <c r="P9" s="10" t="s">
        <v>103</v>
      </c>
    </row>
    <row r="10" customFormat="false" ht="57.45" hidden="false" customHeight="false" outlineLevel="0" collapsed="false">
      <c r="A10" s="10" t="s">
        <v>104</v>
      </c>
      <c r="B10" s="10" t="s">
        <v>105</v>
      </c>
      <c r="C10" s="10" t="s">
        <v>106</v>
      </c>
      <c r="D10" s="10" t="s">
        <v>39</v>
      </c>
      <c r="E10" s="10" t="s">
        <v>107</v>
      </c>
      <c r="F10" s="10" t="s">
        <v>108</v>
      </c>
      <c r="G10" s="10" t="s">
        <v>57</v>
      </c>
      <c r="H10" s="10" t="s">
        <v>109</v>
      </c>
      <c r="I10" s="10" t="s">
        <v>44</v>
      </c>
      <c r="J10" s="10" t="s">
        <v>110</v>
      </c>
      <c r="K10" s="10" t="s">
        <v>101</v>
      </c>
      <c r="L10" s="10" t="s">
        <v>92</v>
      </c>
      <c r="M10" s="10" t="s">
        <v>62</v>
      </c>
      <c r="N10" s="10" t="s">
        <v>49</v>
      </c>
      <c r="O10" s="10" t="s">
        <v>111</v>
      </c>
      <c r="P10" s="10" t="s">
        <v>112</v>
      </c>
    </row>
    <row r="11" customFormat="false" ht="46.25" hidden="false" customHeight="false" outlineLevel="0" collapsed="false">
      <c r="A11" s="10" t="s">
        <v>113</v>
      </c>
      <c r="B11" s="10" t="s">
        <v>114</v>
      </c>
      <c r="C11" s="10" t="s">
        <v>115</v>
      </c>
      <c r="D11" s="10" t="s">
        <v>54</v>
      </c>
      <c r="E11" s="10" t="s">
        <v>116</v>
      </c>
      <c r="F11" s="10" t="s">
        <v>88</v>
      </c>
      <c r="G11" s="10" t="s">
        <v>89</v>
      </c>
      <c r="H11" s="10" t="s">
        <v>58</v>
      </c>
      <c r="I11" s="10" t="s">
        <v>44</v>
      </c>
      <c r="J11" s="10" t="s">
        <v>117</v>
      </c>
      <c r="K11" s="10" t="s">
        <v>118</v>
      </c>
      <c r="L11" s="10" t="s">
        <v>92</v>
      </c>
      <c r="M11" s="10" t="s">
        <v>62</v>
      </c>
      <c r="N11" s="10" t="s">
        <v>49</v>
      </c>
      <c r="O11" s="10" t="s">
        <v>119</v>
      </c>
      <c r="P11" s="10" t="s">
        <v>120</v>
      </c>
    </row>
    <row r="12" customFormat="false" ht="79.85" hidden="false" customHeight="false" outlineLevel="0" collapsed="false">
      <c r="A12" s="10" t="s">
        <v>121</v>
      </c>
      <c r="B12" s="10" t="s">
        <v>122</v>
      </c>
      <c r="C12" s="10" t="s">
        <v>123</v>
      </c>
      <c r="D12" s="10" t="s">
        <v>54</v>
      </c>
      <c r="E12" s="10" t="s">
        <v>124</v>
      </c>
      <c r="F12" s="10" t="s">
        <v>56</v>
      </c>
      <c r="G12" s="10" t="s">
        <v>42</v>
      </c>
      <c r="H12" s="10" t="s">
        <v>79</v>
      </c>
      <c r="I12" s="10" t="s">
        <v>44</v>
      </c>
      <c r="J12" s="10" t="s">
        <v>125</v>
      </c>
      <c r="K12" s="10" t="s">
        <v>126</v>
      </c>
      <c r="L12" s="10" t="s">
        <v>126</v>
      </c>
      <c r="M12" s="10" t="s">
        <v>62</v>
      </c>
      <c r="N12" s="10" t="s">
        <v>49</v>
      </c>
      <c r="O12" s="10" t="s">
        <v>127</v>
      </c>
      <c r="P12" s="10" t="s">
        <v>128</v>
      </c>
    </row>
    <row r="13" customFormat="false" ht="57.45" hidden="false" customHeight="false" outlineLevel="0" collapsed="false">
      <c r="A13" s="10" t="s">
        <v>129</v>
      </c>
      <c r="B13" s="10" t="s">
        <v>130</v>
      </c>
      <c r="C13" s="10" t="s">
        <v>131</v>
      </c>
      <c r="D13" s="10" t="s">
        <v>54</v>
      </c>
      <c r="E13" s="10" t="s">
        <v>132</v>
      </c>
      <c r="F13" s="10" t="s">
        <v>108</v>
      </c>
      <c r="G13" s="10" t="s">
        <v>57</v>
      </c>
      <c r="H13" s="10" t="s">
        <v>79</v>
      </c>
      <c r="I13" s="10" t="s">
        <v>44</v>
      </c>
      <c r="J13" s="10" t="s">
        <v>133</v>
      </c>
      <c r="K13" s="10" t="s">
        <v>134</v>
      </c>
      <c r="L13" s="10" t="s">
        <v>126</v>
      </c>
      <c r="M13" s="10" t="s">
        <v>62</v>
      </c>
      <c r="N13" s="10" t="s">
        <v>49</v>
      </c>
      <c r="O13" s="10" t="s">
        <v>135</v>
      </c>
      <c r="P13" s="10" t="s">
        <v>136</v>
      </c>
    </row>
    <row r="14" customFormat="false" ht="57.45" hidden="false" customHeight="false" outlineLevel="0" collapsed="false">
      <c r="A14" s="10" t="s">
        <v>137</v>
      </c>
      <c r="B14" s="10" t="s">
        <v>138</v>
      </c>
      <c r="C14" s="10" t="s">
        <v>139</v>
      </c>
      <c r="D14" s="10" t="s">
        <v>54</v>
      </c>
      <c r="E14" s="10" t="s">
        <v>140</v>
      </c>
      <c r="F14" s="10" t="s">
        <v>88</v>
      </c>
      <c r="G14" s="10" t="s">
        <v>89</v>
      </c>
      <c r="H14" s="10" t="s">
        <v>141</v>
      </c>
      <c r="I14" s="10" t="s">
        <v>44</v>
      </c>
      <c r="J14" s="10" t="s">
        <v>142</v>
      </c>
      <c r="K14" s="10" t="s">
        <v>143</v>
      </c>
      <c r="L14" s="10" t="s">
        <v>81</v>
      </c>
      <c r="M14" s="10" t="s">
        <v>62</v>
      </c>
      <c r="N14" s="10" t="s">
        <v>49</v>
      </c>
      <c r="O14" s="10" t="s">
        <v>144</v>
      </c>
      <c r="P14" s="10" t="s">
        <v>145</v>
      </c>
    </row>
    <row r="15" customFormat="false" ht="57.45" hidden="false" customHeight="false" outlineLevel="0" collapsed="false">
      <c r="A15" s="10" t="s">
        <v>146</v>
      </c>
      <c r="B15" s="10" t="s">
        <v>147</v>
      </c>
      <c r="C15" s="10" t="s">
        <v>139</v>
      </c>
      <c r="D15" s="10" t="s">
        <v>54</v>
      </c>
      <c r="E15" s="10" t="s">
        <v>148</v>
      </c>
      <c r="F15" s="10" t="s">
        <v>88</v>
      </c>
      <c r="G15" s="10" t="s">
        <v>89</v>
      </c>
      <c r="H15" s="10" t="s">
        <v>141</v>
      </c>
      <c r="I15" s="10" t="s">
        <v>44</v>
      </c>
      <c r="J15" s="10" t="s">
        <v>142</v>
      </c>
      <c r="K15" s="10" t="s">
        <v>149</v>
      </c>
      <c r="L15" s="10" t="s">
        <v>81</v>
      </c>
      <c r="M15" s="10" t="s">
        <v>62</v>
      </c>
      <c r="N15" s="10" t="s">
        <v>49</v>
      </c>
      <c r="O15" s="10" t="s">
        <v>150</v>
      </c>
      <c r="P15" s="10" t="s">
        <v>151</v>
      </c>
    </row>
    <row r="16" customFormat="false" ht="57.45" hidden="false" customHeight="false" outlineLevel="0" collapsed="false">
      <c r="A16" s="10" t="s">
        <v>152</v>
      </c>
      <c r="B16" s="10" t="s">
        <v>153</v>
      </c>
      <c r="C16" s="10" t="s">
        <v>139</v>
      </c>
      <c r="D16" s="10" t="s">
        <v>54</v>
      </c>
      <c r="E16" s="10" t="s">
        <v>154</v>
      </c>
      <c r="F16" s="10" t="s">
        <v>88</v>
      </c>
      <c r="G16" s="10" t="s">
        <v>89</v>
      </c>
      <c r="H16" s="10" t="s">
        <v>141</v>
      </c>
      <c r="I16" s="10" t="s">
        <v>44</v>
      </c>
      <c r="J16" s="10" t="s">
        <v>142</v>
      </c>
      <c r="K16" s="10" t="s">
        <v>155</v>
      </c>
      <c r="L16" s="10" t="s">
        <v>81</v>
      </c>
      <c r="M16" s="10" t="s">
        <v>62</v>
      </c>
      <c r="N16" s="10" t="s">
        <v>49</v>
      </c>
      <c r="O16" s="10" t="s">
        <v>150</v>
      </c>
      <c r="P16" s="10"/>
    </row>
    <row r="17" customFormat="false" ht="57.45" hidden="false" customHeight="false" outlineLevel="0" collapsed="false">
      <c r="A17" s="10" t="s">
        <v>156</v>
      </c>
      <c r="B17" s="10" t="s">
        <v>157</v>
      </c>
      <c r="C17" s="10" t="s">
        <v>158</v>
      </c>
      <c r="D17" s="10" t="s">
        <v>54</v>
      </c>
      <c r="E17" s="10" t="s">
        <v>159</v>
      </c>
      <c r="F17" s="10" t="s">
        <v>69</v>
      </c>
      <c r="G17" s="10" t="s">
        <v>57</v>
      </c>
      <c r="H17" s="10" t="s">
        <v>79</v>
      </c>
      <c r="I17" s="10" t="s">
        <v>71</v>
      </c>
      <c r="J17" s="10" t="s">
        <v>160</v>
      </c>
      <c r="K17" s="10" t="s">
        <v>161</v>
      </c>
      <c r="L17" s="10" t="s">
        <v>47</v>
      </c>
      <c r="M17" s="10" t="s">
        <v>62</v>
      </c>
      <c r="N17" s="10" t="s">
        <v>49</v>
      </c>
      <c r="O17" s="10" t="s">
        <v>127</v>
      </c>
      <c r="P17" s="10" t="s">
        <v>162</v>
      </c>
    </row>
    <row r="18" customFormat="false" ht="46.25" hidden="false" customHeight="false" outlineLevel="0" collapsed="false">
      <c r="A18" s="10" t="s">
        <v>163</v>
      </c>
      <c r="B18" s="10" t="s">
        <v>164</v>
      </c>
      <c r="C18" s="10" t="s">
        <v>158</v>
      </c>
      <c r="D18" s="10" t="s">
        <v>54</v>
      </c>
      <c r="E18" s="10" t="s">
        <v>165</v>
      </c>
      <c r="F18" s="10" t="s">
        <v>88</v>
      </c>
      <c r="G18" s="10" t="s">
        <v>89</v>
      </c>
      <c r="H18" s="10" t="s">
        <v>58</v>
      </c>
      <c r="I18" s="10" t="s">
        <v>71</v>
      </c>
      <c r="J18" s="10" t="s">
        <v>142</v>
      </c>
      <c r="K18" s="10" t="s">
        <v>166</v>
      </c>
      <c r="L18" s="10" t="s">
        <v>81</v>
      </c>
      <c r="M18" s="10" t="s">
        <v>62</v>
      </c>
      <c r="N18" s="10" t="s">
        <v>49</v>
      </c>
      <c r="O18" s="10" t="s">
        <v>167</v>
      </c>
      <c r="P18" s="10" t="s">
        <v>168</v>
      </c>
    </row>
    <row r="19" customFormat="false" ht="35.05" hidden="false" customHeight="false" outlineLevel="0" collapsed="false">
      <c r="A19" s="10" t="s">
        <v>169</v>
      </c>
      <c r="B19" s="10" t="s">
        <v>170</v>
      </c>
      <c r="C19" s="10" t="s">
        <v>171</v>
      </c>
      <c r="D19" s="10" t="s">
        <v>172</v>
      </c>
      <c r="E19" s="10" t="s">
        <v>173</v>
      </c>
      <c r="F19" s="10" t="s">
        <v>88</v>
      </c>
      <c r="G19" s="10" t="s">
        <v>89</v>
      </c>
      <c r="H19" s="10" t="s">
        <v>58</v>
      </c>
      <c r="I19" s="10" t="s">
        <v>44</v>
      </c>
      <c r="J19" s="10" t="s">
        <v>142</v>
      </c>
      <c r="K19" s="10" t="s">
        <v>174</v>
      </c>
      <c r="L19" s="10" t="s">
        <v>47</v>
      </c>
      <c r="M19" s="10" t="s">
        <v>62</v>
      </c>
      <c r="N19" s="10" t="s">
        <v>49</v>
      </c>
      <c r="O19" s="10" t="s">
        <v>150</v>
      </c>
      <c r="P19" s="10" t="s">
        <v>175</v>
      </c>
    </row>
    <row r="20" customFormat="false" ht="46.25" hidden="false" customHeight="false" outlineLevel="0" collapsed="false">
      <c r="A20" s="10" t="s">
        <v>176</v>
      </c>
      <c r="B20" s="10" t="s">
        <v>177</v>
      </c>
      <c r="C20" s="10" t="s">
        <v>178</v>
      </c>
      <c r="D20" s="10" t="s">
        <v>179</v>
      </c>
      <c r="E20" s="10" t="s">
        <v>180</v>
      </c>
      <c r="F20" s="10" t="s">
        <v>88</v>
      </c>
      <c r="G20" s="10" t="s">
        <v>89</v>
      </c>
      <c r="H20" s="10" t="s">
        <v>58</v>
      </c>
      <c r="I20" s="10" t="s">
        <v>181</v>
      </c>
      <c r="J20" s="10" t="s">
        <v>142</v>
      </c>
      <c r="K20" s="10" t="s">
        <v>182</v>
      </c>
      <c r="L20" s="10" t="s">
        <v>61</v>
      </c>
      <c r="M20" s="10" t="s">
        <v>62</v>
      </c>
      <c r="N20" s="10" t="s">
        <v>49</v>
      </c>
      <c r="O20" s="10" t="s">
        <v>183</v>
      </c>
      <c r="P20" s="10" t="s">
        <v>184</v>
      </c>
    </row>
    <row r="21" customFormat="false" ht="23.85" hidden="false" customHeight="false" outlineLevel="0" collapsed="false">
      <c r="A21" s="10" t="s">
        <v>185</v>
      </c>
      <c r="B21" s="10" t="s">
        <v>186</v>
      </c>
      <c r="C21" s="10" t="s">
        <v>187</v>
      </c>
      <c r="D21" s="10" t="s">
        <v>39</v>
      </c>
      <c r="E21" s="10" t="s">
        <v>188</v>
      </c>
      <c r="F21" s="10" t="s">
        <v>41</v>
      </c>
      <c r="G21" s="10" t="s">
        <v>57</v>
      </c>
      <c r="H21" s="10" t="s">
        <v>189</v>
      </c>
      <c r="I21" s="10" t="s">
        <v>44</v>
      </c>
      <c r="J21" s="10" t="s">
        <v>72</v>
      </c>
      <c r="K21" s="10" t="s">
        <v>92</v>
      </c>
      <c r="L21" s="10" t="s">
        <v>61</v>
      </c>
      <c r="M21" s="10" t="s">
        <v>62</v>
      </c>
      <c r="N21" s="10" t="s">
        <v>49</v>
      </c>
      <c r="O21" s="10" t="s">
        <v>190</v>
      </c>
      <c r="P21" s="10" t="s">
        <v>191</v>
      </c>
    </row>
    <row r="22" customFormat="false" ht="57.45" hidden="false" customHeight="false" outlineLevel="0" collapsed="false">
      <c r="A22" s="10" t="s">
        <v>192</v>
      </c>
      <c r="B22" s="10" t="s">
        <v>193</v>
      </c>
      <c r="C22" s="10" t="s">
        <v>194</v>
      </c>
      <c r="D22" s="10" t="s">
        <v>54</v>
      </c>
      <c r="E22" s="10" t="s">
        <v>195</v>
      </c>
      <c r="F22" s="10" t="s">
        <v>196</v>
      </c>
      <c r="G22" s="10" t="s">
        <v>197</v>
      </c>
      <c r="H22" s="10" t="s">
        <v>79</v>
      </c>
      <c r="I22" s="10" t="s">
        <v>71</v>
      </c>
      <c r="J22" s="10" t="s">
        <v>72</v>
      </c>
      <c r="K22" s="10" t="s">
        <v>198</v>
      </c>
      <c r="L22" s="10" t="s">
        <v>61</v>
      </c>
      <c r="M22" s="10" t="s">
        <v>62</v>
      </c>
      <c r="N22" s="10" t="s">
        <v>199</v>
      </c>
      <c r="O22" s="10" t="s">
        <v>200</v>
      </c>
      <c r="P22" s="10" t="s">
        <v>201</v>
      </c>
    </row>
    <row r="23" customFormat="false" ht="57.45" hidden="false" customHeight="false" outlineLevel="0" collapsed="false">
      <c r="A23" s="10" t="s">
        <v>202</v>
      </c>
      <c r="B23" s="10" t="s">
        <v>203</v>
      </c>
      <c r="C23" s="10" t="s">
        <v>194</v>
      </c>
      <c r="D23" s="10" t="s">
        <v>54</v>
      </c>
      <c r="E23" s="10" t="s">
        <v>204</v>
      </c>
      <c r="F23" s="10" t="s">
        <v>41</v>
      </c>
      <c r="G23" s="10" t="s">
        <v>42</v>
      </c>
      <c r="H23" s="10" t="s">
        <v>79</v>
      </c>
      <c r="I23" s="10" t="s">
        <v>71</v>
      </c>
      <c r="J23" s="10" t="s">
        <v>142</v>
      </c>
      <c r="K23" s="10" t="s">
        <v>205</v>
      </c>
      <c r="L23" s="10" t="s">
        <v>47</v>
      </c>
      <c r="M23" s="10" t="s">
        <v>62</v>
      </c>
      <c r="N23" s="10" t="s">
        <v>199</v>
      </c>
      <c r="O23" s="10" t="s">
        <v>206</v>
      </c>
      <c r="P23" s="10" t="s">
        <v>207</v>
      </c>
    </row>
    <row r="24" customFormat="false" ht="46.25" hidden="false" customHeight="false" outlineLevel="0" collapsed="false">
      <c r="A24" s="10" t="s">
        <v>208</v>
      </c>
      <c r="B24" s="10" t="s">
        <v>209</v>
      </c>
      <c r="C24" s="10" t="s">
        <v>210</v>
      </c>
      <c r="D24" s="10" t="s">
        <v>211</v>
      </c>
      <c r="E24" s="10" t="s">
        <v>212</v>
      </c>
      <c r="F24" s="10" t="s">
        <v>56</v>
      </c>
      <c r="G24" s="10" t="s">
        <v>57</v>
      </c>
      <c r="H24" s="10" t="s">
        <v>58</v>
      </c>
      <c r="I24" s="10" t="s">
        <v>44</v>
      </c>
      <c r="J24" s="10" t="s">
        <v>142</v>
      </c>
      <c r="K24" s="10" t="s">
        <v>213</v>
      </c>
      <c r="L24" s="10" t="s">
        <v>92</v>
      </c>
      <c r="M24" s="10" t="s">
        <v>62</v>
      </c>
      <c r="N24" s="10" t="s">
        <v>214</v>
      </c>
      <c r="O24" s="10" t="s">
        <v>215</v>
      </c>
      <c r="P24" s="10" t="s">
        <v>216</v>
      </c>
    </row>
    <row r="25" customFormat="false" ht="35.05" hidden="false" customHeight="false" outlineLevel="0" collapsed="false">
      <c r="A25" s="10" t="s">
        <v>217</v>
      </c>
      <c r="B25" s="10" t="s">
        <v>218</v>
      </c>
      <c r="C25" s="10" t="s">
        <v>219</v>
      </c>
      <c r="D25" s="10" t="s">
        <v>172</v>
      </c>
      <c r="E25" s="10" t="s">
        <v>220</v>
      </c>
      <c r="F25" s="10" t="s">
        <v>41</v>
      </c>
      <c r="G25" s="10" t="s">
        <v>57</v>
      </c>
      <c r="H25" s="10" t="s">
        <v>58</v>
      </c>
      <c r="I25" s="10" t="s">
        <v>44</v>
      </c>
      <c r="J25" s="10" t="s">
        <v>142</v>
      </c>
      <c r="K25" s="10" t="s">
        <v>213</v>
      </c>
      <c r="L25" s="10" t="s">
        <v>92</v>
      </c>
      <c r="M25" s="10" t="s">
        <v>62</v>
      </c>
      <c r="N25" s="10" t="s">
        <v>214</v>
      </c>
      <c r="O25" s="10" t="s">
        <v>221</v>
      </c>
      <c r="P25" s="10" t="s">
        <v>222</v>
      </c>
    </row>
    <row r="26" customFormat="false" ht="23.85" hidden="false" customHeight="false" outlineLevel="0" collapsed="false">
      <c r="A26" s="10" t="s">
        <v>223</v>
      </c>
      <c r="B26" s="10" t="s">
        <v>224</v>
      </c>
      <c r="C26" s="10" t="s">
        <v>225</v>
      </c>
      <c r="D26" s="10" t="s">
        <v>39</v>
      </c>
      <c r="E26" s="10" t="s">
        <v>226</v>
      </c>
      <c r="F26" s="10" t="s">
        <v>41</v>
      </c>
      <c r="G26" s="10" t="s">
        <v>57</v>
      </c>
      <c r="H26" s="10" t="s">
        <v>58</v>
      </c>
      <c r="I26" s="10" t="s">
        <v>227</v>
      </c>
      <c r="J26" s="10" t="s">
        <v>228</v>
      </c>
      <c r="K26" s="10" t="s">
        <v>229</v>
      </c>
      <c r="L26" s="10" t="s">
        <v>61</v>
      </c>
      <c r="M26" s="10" t="s">
        <v>62</v>
      </c>
      <c r="N26" s="10" t="s">
        <v>230</v>
      </c>
      <c r="O26" s="10" t="s">
        <v>231</v>
      </c>
      <c r="P26" s="10" t="s">
        <v>232</v>
      </c>
    </row>
    <row r="27" customFormat="false" ht="46.25" hidden="false" customHeight="false" outlineLevel="0" collapsed="false">
      <c r="A27" s="10" t="s">
        <v>233</v>
      </c>
      <c r="B27" s="10" t="s">
        <v>234</v>
      </c>
      <c r="C27" s="10" t="s">
        <v>235</v>
      </c>
      <c r="D27" s="10" t="s">
        <v>211</v>
      </c>
      <c r="E27" s="10" t="s">
        <v>236</v>
      </c>
      <c r="F27" s="10" t="s">
        <v>108</v>
      </c>
      <c r="G27" s="10" t="s">
        <v>57</v>
      </c>
      <c r="H27" s="10" t="s">
        <v>189</v>
      </c>
      <c r="I27" s="10" t="s">
        <v>44</v>
      </c>
      <c r="J27" s="10" t="s">
        <v>237</v>
      </c>
      <c r="K27" s="10" t="s">
        <v>238</v>
      </c>
      <c r="L27" s="10" t="s">
        <v>61</v>
      </c>
      <c r="M27" s="10" t="s">
        <v>62</v>
      </c>
      <c r="N27" s="10" t="s">
        <v>230</v>
      </c>
      <c r="O27" s="10" t="s">
        <v>239</v>
      </c>
      <c r="P27" s="10" t="s">
        <v>240</v>
      </c>
    </row>
    <row r="28" customFormat="false" ht="57.45" hidden="false" customHeight="false" outlineLevel="0" collapsed="false">
      <c r="A28" s="10" t="s">
        <v>241</v>
      </c>
      <c r="B28" s="10" t="s">
        <v>242</v>
      </c>
      <c r="C28" s="10" t="s">
        <v>115</v>
      </c>
      <c r="D28" s="10" t="s">
        <v>54</v>
      </c>
      <c r="E28" s="10" t="s">
        <v>243</v>
      </c>
      <c r="F28" s="10" t="s">
        <v>69</v>
      </c>
      <c r="G28" s="10" t="s">
        <v>197</v>
      </c>
      <c r="H28" s="10" t="s">
        <v>79</v>
      </c>
      <c r="I28" s="10" t="s">
        <v>44</v>
      </c>
      <c r="J28" s="10" t="s">
        <v>244</v>
      </c>
      <c r="K28" s="10" t="s">
        <v>126</v>
      </c>
      <c r="L28" s="10" t="s">
        <v>126</v>
      </c>
      <c r="M28" s="10" t="s">
        <v>62</v>
      </c>
      <c r="N28" s="10" t="s">
        <v>199</v>
      </c>
      <c r="O28" s="10" t="s">
        <v>127</v>
      </c>
      <c r="P28" s="10" t="s">
        <v>245</v>
      </c>
    </row>
    <row r="29" customFormat="false" ht="57.45" hidden="false" customHeight="false" outlineLevel="0" collapsed="false">
      <c r="A29" s="10" t="s">
        <v>246</v>
      </c>
      <c r="B29" s="10" t="s">
        <v>247</v>
      </c>
      <c r="C29" s="10" t="s">
        <v>194</v>
      </c>
      <c r="D29" s="10" t="s">
        <v>54</v>
      </c>
      <c r="E29" s="10" t="s">
        <v>248</v>
      </c>
      <c r="F29" s="10" t="s">
        <v>249</v>
      </c>
      <c r="G29" s="10" t="s">
        <v>89</v>
      </c>
      <c r="H29" s="10" t="s">
        <v>79</v>
      </c>
      <c r="I29" s="10" t="s">
        <v>71</v>
      </c>
      <c r="J29" s="10" t="s">
        <v>72</v>
      </c>
      <c r="K29" s="10" t="s">
        <v>250</v>
      </c>
      <c r="L29" s="10" t="s">
        <v>81</v>
      </c>
      <c r="M29" s="10" t="s">
        <v>62</v>
      </c>
      <c r="N29" s="10" t="s">
        <v>230</v>
      </c>
      <c r="O29" s="10" t="s">
        <v>150</v>
      </c>
      <c r="P29" s="10" t="s">
        <v>251</v>
      </c>
    </row>
    <row r="30" customFormat="false" ht="35.05" hidden="false" customHeight="false" outlineLevel="0" collapsed="false">
      <c r="A30" s="10" t="s">
        <v>252</v>
      </c>
      <c r="B30" s="10" t="s">
        <v>253</v>
      </c>
      <c r="C30" s="10" t="s">
        <v>254</v>
      </c>
      <c r="D30" s="10" t="s">
        <v>54</v>
      </c>
      <c r="E30" s="10" t="s">
        <v>255</v>
      </c>
      <c r="F30" s="10" t="s">
        <v>41</v>
      </c>
      <c r="G30" s="10" t="s">
        <v>42</v>
      </c>
      <c r="H30" s="10" t="s">
        <v>58</v>
      </c>
      <c r="I30" s="10" t="s">
        <v>44</v>
      </c>
      <c r="J30" s="10" t="s">
        <v>142</v>
      </c>
      <c r="K30" s="10" t="s">
        <v>143</v>
      </c>
      <c r="L30" s="10" t="s">
        <v>81</v>
      </c>
      <c r="M30" s="10" t="s">
        <v>62</v>
      </c>
      <c r="N30" s="10" t="s">
        <v>256</v>
      </c>
      <c r="O30" s="10" t="s">
        <v>257</v>
      </c>
      <c r="P30" s="10" t="s">
        <v>258</v>
      </c>
    </row>
    <row r="31" customFormat="false" ht="57.45" hidden="false" customHeight="false" outlineLevel="0" collapsed="false">
      <c r="A31" s="10" t="s">
        <v>259</v>
      </c>
      <c r="B31" s="10" t="s">
        <v>260</v>
      </c>
      <c r="C31" s="10" t="s">
        <v>261</v>
      </c>
      <c r="D31" s="10" t="s">
        <v>54</v>
      </c>
      <c r="E31" s="10" t="s">
        <v>262</v>
      </c>
      <c r="F31" s="10" t="s">
        <v>41</v>
      </c>
      <c r="G31" s="10" t="s">
        <v>42</v>
      </c>
      <c r="H31" s="10" t="s">
        <v>79</v>
      </c>
      <c r="I31" s="10" t="s">
        <v>44</v>
      </c>
      <c r="J31" s="10" t="s">
        <v>142</v>
      </c>
      <c r="K31" s="10" t="s">
        <v>263</v>
      </c>
      <c r="L31" s="10" t="s">
        <v>264</v>
      </c>
      <c r="M31" s="10" t="s">
        <v>62</v>
      </c>
      <c r="N31" s="10" t="s">
        <v>199</v>
      </c>
      <c r="O31" s="10" t="s">
        <v>265</v>
      </c>
      <c r="P31" s="10" t="s">
        <v>266</v>
      </c>
    </row>
    <row r="32" customFormat="false" ht="35.05" hidden="false" customHeight="false" outlineLevel="0" collapsed="false">
      <c r="A32" s="10" t="s">
        <v>267</v>
      </c>
      <c r="B32" s="10" t="s">
        <v>268</v>
      </c>
      <c r="C32" s="10" t="s">
        <v>269</v>
      </c>
      <c r="D32" s="10" t="s">
        <v>92</v>
      </c>
      <c r="E32" s="10" t="s">
        <v>270</v>
      </c>
      <c r="F32" s="10" t="s">
        <v>88</v>
      </c>
      <c r="G32" s="10" t="s">
        <v>197</v>
      </c>
      <c r="H32" s="10" t="s">
        <v>58</v>
      </c>
      <c r="I32" s="10" t="s">
        <v>44</v>
      </c>
      <c r="J32" s="10" t="s">
        <v>271</v>
      </c>
      <c r="K32" s="10" t="s">
        <v>213</v>
      </c>
      <c r="L32" s="10" t="s">
        <v>92</v>
      </c>
      <c r="M32" s="10" t="s">
        <v>62</v>
      </c>
      <c r="N32" s="10" t="s">
        <v>230</v>
      </c>
      <c r="O32" s="10" t="s">
        <v>272</v>
      </c>
      <c r="P32" s="10" t="s">
        <v>273</v>
      </c>
    </row>
    <row r="33" customFormat="false" ht="15" hidden="false" customHeight="false" outlineLevel="0" collapsed="false">
      <c r="A33" s="10"/>
      <c r="B33" s="10"/>
      <c r="C33" s="10"/>
      <c r="D33" s="10"/>
      <c r="E33" s="10"/>
      <c r="F33" s="10"/>
      <c r="G33" s="10"/>
      <c r="H33" s="10"/>
      <c r="I33" s="10"/>
      <c r="J33" s="10"/>
      <c r="K33" s="10"/>
      <c r="L33" s="10"/>
      <c r="M33" s="10"/>
      <c r="N33" s="10"/>
      <c r="O33" s="10"/>
      <c r="P33" s="10"/>
    </row>
    <row r="34" customFormat="false" ht="15" hidden="false" customHeight="false" outlineLevel="0" collapsed="false">
      <c r="A34" s="10"/>
      <c r="B34" s="10"/>
      <c r="C34" s="10"/>
      <c r="D34" s="10"/>
      <c r="E34" s="10"/>
      <c r="F34" s="10"/>
      <c r="G34" s="10"/>
      <c r="H34" s="10"/>
      <c r="I34" s="10"/>
      <c r="J34" s="10"/>
      <c r="K34" s="10"/>
      <c r="L34" s="10"/>
      <c r="M34" s="10"/>
      <c r="N34" s="10"/>
      <c r="O34" s="10"/>
      <c r="P34" s="10"/>
    </row>
    <row r="35" customFormat="false" ht="15" hidden="false" customHeight="false" outlineLevel="0" collapsed="false">
      <c r="A35" s="10"/>
      <c r="B35" s="10"/>
      <c r="C35" s="10"/>
      <c r="D35" s="10"/>
      <c r="E35" s="10"/>
      <c r="F35" s="10"/>
      <c r="G35" s="10"/>
      <c r="H35" s="10"/>
      <c r="I35" s="10"/>
      <c r="J35" s="10"/>
      <c r="K35" s="10"/>
      <c r="L35" s="10"/>
      <c r="M35" s="10"/>
      <c r="N35" s="10"/>
      <c r="O35" s="10"/>
      <c r="P35" s="10"/>
    </row>
    <row r="36" customFormat="false" ht="15" hidden="false" customHeight="false" outlineLevel="0" collapsed="false">
      <c r="A36" s="10"/>
      <c r="B36" s="10"/>
      <c r="C36" s="10"/>
      <c r="D36" s="10"/>
      <c r="E36" s="10"/>
      <c r="F36" s="10"/>
      <c r="G36" s="10"/>
      <c r="H36" s="10"/>
      <c r="I36" s="10"/>
      <c r="J36" s="10"/>
      <c r="K36" s="10"/>
      <c r="L36" s="10"/>
      <c r="M36" s="10"/>
      <c r="N36" s="10"/>
      <c r="O36" s="10"/>
      <c r="P36" s="10"/>
    </row>
    <row r="37" customFormat="false" ht="15" hidden="false" customHeight="false" outlineLevel="0" collapsed="false">
      <c r="A37" s="10"/>
      <c r="B37" s="10"/>
      <c r="C37" s="10"/>
      <c r="D37" s="10"/>
      <c r="E37" s="10"/>
      <c r="F37" s="10"/>
      <c r="G37" s="10"/>
      <c r="H37" s="10"/>
      <c r="I37" s="10"/>
      <c r="J37" s="10"/>
      <c r="K37" s="10"/>
      <c r="L37" s="10"/>
      <c r="M37" s="10"/>
      <c r="N37" s="10"/>
      <c r="O37" s="10"/>
      <c r="P37" s="10"/>
    </row>
    <row r="38" customFormat="false" ht="15" hidden="false" customHeight="false" outlineLevel="0" collapsed="false">
      <c r="A38" s="10"/>
      <c r="B38" s="10"/>
      <c r="C38" s="10"/>
      <c r="D38" s="10"/>
      <c r="E38" s="10"/>
      <c r="F38" s="10"/>
      <c r="G38" s="10"/>
      <c r="H38" s="10"/>
      <c r="I38" s="10"/>
      <c r="J38" s="10"/>
      <c r="K38" s="10"/>
      <c r="L38" s="10"/>
      <c r="M38" s="10"/>
      <c r="N38" s="10"/>
      <c r="O38" s="10"/>
      <c r="P38" s="10"/>
    </row>
    <row r="39" customFormat="false" ht="15" hidden="false" customHeight="false" outlineLevel="0" collapsed="false">
      <c r="A39" s="10"/>
      <c r="B39" s="10"/>
      <c r="C39" s="10"/>
      <c r="D39" s="10"/>
      <c r="E39" s="10"/>
      <c r="F39" s="10"/>
      <c r="G39" s="10"/>
      <c r="H39" s="10"/>
      <c r="I39" s="10"/>
      <c r="J39" s="10"/>
      <c r="K39" s="10"/>
      <c r="L39" s="10"/>
      <c r="M39" s="10"/>
      <c r="N39" s="10"/>
      <c r="O39" s="10"/>
      <c r="P39" s="10"/>
    </row>
    <row r="40" customFormat="false" ht="15" hidden="false" customHeight="false" outlineLevel="0" collapsed="false">
      <c r="A40" s="10"/>
      <c r="B40" s="10"/>
      <c r="C40" s="10"/>
      <c r="D40" s="10"/>
      <c r="E40" s="10"/>
      <c r="F40" s="10"/>
      <c r="G40" s="10"/>
      <c r="H40" s="10"/>
      <c r="I40" s="10"/>
      <c r="J40" s="10"/>
      <c r="K40" s="10"/>
      <c r="L40" s="10"/>
      <c r="M40" s="10"/>
      <c r="N40" s="10"/>
      <c r="O40" s="10"/>
      <c r="P40" s="10"/>
    </row>
    <row r="41" customFormat="false" ht="15" hidden="false" customHeight="false" outlineLevel="0" collapsed="false">
      <c r="A41" s="10"/>
      <c r="B41" s="10"/>
      <c r="C41" s="10"/>
      <c r="D41" s="10"/>
      <c r="E41" s="10"/>
      <c r="F41" s="10"/>
      <c r="G41" s="10"/>
      <c r="H41" s="10"/>
      <c r="I41" s="10"/>
      <c r="J41" s="10"/>
      <c r="K41" s="10"/>
      <c r="L41" s="10"/>
      <c r="M41" s="10"/>
      <c r="N41" s="10"/>
      <c r="O41" s="10"/>
      <c r="P41" s="10"/>
    </row>
    <row r="42" customFormat="false" ht="15" hidden="false" customHeight="false" outlineLevel="0" collapsed="false">
      <c r="A42" s="10"/>
      <c r="B42" s="10"/>
      <c r="C42" s="10"/>
      <c r="D42" s="10"/>
      <c r="E42" s="10"/>
      <c r="F42" s="10"/>
      <c r="G42" s="10"/>
      <c r="H42" s="10"/>
      <c r="I42" s="10"/>
      <c r="J42" s="10"/>
      <c r="K42" s="10"/>
      <c r="L42" s="10"/>
      <c r="M42" s="10"/>
      <c r="N42" s="10"/>
      <c r="O42" s="10"/>
      <c r="P42" s="10"/>
    </row>
    <row r="43" customFormat="false" ht="15" hidden="false" customHeight="false" outlineLevel="0" collapsed="false">
      <c r="A43" s="10"/>
      <c r="B43" s="10"/>
      <c r="C43" s="10"/>
      <c r="D43" s="10"/>
      <c r="E43" s="10"/>
      <c r="F43" s="10"/>
      <c r="G43" s="10"/>
      <c r="H43" s="10"/>
      <c r="I43" s="10"/>
      <c r="J43" s="10"/>
      <c r="K43" s="10"/>
      <c r="L43" s="10"/>
      <c r="M43" s="10"/>
      <c r="N43" s="10"/>
      <c r="O43" s="10"/>
      <c r="P43" s="10"/>
    </row>
    <row r="44" customFormat="false" ht="15" hidden="false" customHeight="false" outlineLevel="0" collapsed="false">
      <c r="A44" s="10"/>
      <c r="B44" s="10"/>
      <c r="C44" s="10"/>
      <c r="D44" s="10"/>
      <c r="E44" s="10"/>
      <c r="F44" s="10"/>
      <c r="G44" s="10"/>
      <c r="H44" s="10"/>
      <c r="I44" s="10"/>
      <c r="J44" s="10"/>
      <c r="K44" s="10"/>
      <c r="L44" s="10"/>
      <c r="M44" s="10"/>
      <c r="N44" s="10"/>
      <c r="O44" s="10"/>
      <c r="P44" s="10"/>
    </row>
  </sheetData>
  <dataValidations count="6">
    <dataValidation allowBlank="true" error="Elijan una opción de la lista" errorStyle="stop" operator="between" showDropDown="false" showErrorMessage="false" showInputMessage="false" sqref="D5:D44" type="list">
      <formula1>"Entidad pública,Academia u ONG,Plataforma colaborativa,Empresa privada,Medio de comunicación,No se sabe"</formula1>
      <formula2>0</formula2>
    </dataValidation>
    <dataValidation allowBlank="true" error="Elijan una opción de la lista" errorStyle="stop" operator="between" showDropDown="false" showErrorMessage="false" showInputMessage="false" sqref="F5:F44" type="list">
      <formula1>"CSV,JSON,XLSX,Parquet,GeoJSON,Shapefile,PDF,Página web,Otro"</formula1>
      <formula2>0</formula2>
    </dataValidation>
    <dataValidation allowBlank="true" error="Elijan una opción de la lista" errorStyle="stop" operator="between" showDropDown="false" showErrorMessage="false" showInputMessage="false" sqref="G5:G44" type="list">
      <formula1>"API sin llave,API con llave gratuita,Descarga directa,Solo PDF o página,Bloquea scripts o pide sesión"</formula1>
      <formula2>0</formula2>
    </dataValidation>
    <dataValidation allowBlank="true" error="Elijan una opción de la lista" errorStyle="stop" operator="between" showDropDown="false" showErrorMessage="false" showInputMessage="false" sqref="I5:I44" type="list">
      <formula1>"No,Solo conteos por zona,Personas identificables,Texto libre sin revisar"</formula1>
      <formula2>0</formula2>
    </dataValidation>
    <dataValidation allowBlank="true" error="Elijan una opción de la lista" errorStyle="stop" operator="between" showDropDown="false" showErrorMessage="false" showInputMessage="false" sqref="L5:L44" type="list">
      <formula1>"Tiempo real,Diaria,Mensual,Trimestral,Anual,Única vez,No se sabe"</formula1>
      <formula2>0</formula2>
    </dataValidation>
    <dataValidation allowBlank="true" error="Elijan una opción de la lista" errorStyle="stop" operator="between" showDropDown="false" showErrorMessage="false" showInputMessage="false" sqref="N5:N44" type="list">
      <formula1>"Integrada al lago,Candidata,No responde,No existe (la inventó la IA),Descartada"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7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22"/>
    <col collapsed="false" customWidth="true" hidden="false" outlineLevel="0" max="4" min="4" style="0" width="20"/>
    <col collapsed="false" customWidth="true" hidden="false" outlineLevel="0" max="5" min="5" style="0" width="36"/>
    <col collapsed="false" customWidth="true" hidden="false" outlineLevel="0" max="6" min="6" style="0" width="12"/>
    <col collapsed="false" customWidth="true" hidden="false" outlineLevel="0" max="7" min="7" style="0" width="16"/>
    <col collapsed="false" customWidth="true" hidden="false" outlineLevel="0" max="8" min="8" style="0" width="14"/>
    <col collapsed="false" customWidth="true" hidden="false" outlineLevel="0" max="9" min="9" style="0" width="11"/>
    <col collapsed="false" customWidth="true" hidden="false" outlineLevel="0" max="10" min="10" style="0" width="22"/>
    <col collapsed="false" customWidth="true" hidden="false" outlineLevel="0" max="11" min="11" style="0" width="16"/>
    <col collapsed="false" customWidth="true" hidden="false" outlineLevel="0" max="12" min="12" style="0" width="28"/>
    <col collapsed="false" customWidth="true" hidden="false" outlineLevel="0" max="13" min="13" style="0" width="32"/>
  </cols>
  <sheetData>
    <row r="1" customFormat="false" ht="18" hidden="false" customHeight="true" outlineLevel="0" collapsed="false">
      <c r="A1" s="6" t="s">
        <v>274</v>
      </c>
    </row>
    <row r="2" customFormat="false" ht="15" hidden="false" customHeight="false" outlineLevel="0" collapsed="false">
      <c r="A2" s="7" t="s">
        <v>275</v>
      </c>
    </row>
    <row r="3" customFormat="false" ht="42" hidden="false" customHeight="true" outlineLevel="0" collapsed="false">
      <c r="A3" s="8" t="s">
        <v>20</v>
      </c>
      <c r="B3" s="8" t="s">
        <v>276</v>
      </c>
      <c r="C3" s="8" t="s">
        <v>277</v>
      </c>
      <c r="D3" s="8" t="s">
        <v>278</v>
      </c>
      <c r="E3" s="8" t="s">
        <v>279</v>
      </c>
      <c r="F3" s="8" t="s">
        <v>280</v>
      </c>
      <c r="G3" s="8" t="s">
        <v>281</v>
      </c>
      <c r="H3" s="8" t="s">
        <v>282</v>
      </c>
      <c r="I3" s="8" t="s">
        <v>283</v>
      </c>
      <c r="J3" s="8" t="s">
        <v>284</v>
      </c>
      <c r="K3" s="8" t="s">
        <v>285</v>
      </c>
      <c r="L3" s="8" t="s">
        <v>286</v>
      </c>
      <c r="M3" s="8" t="s">
        <v>287</v>
      </c>
    </row>
    <row r="4" customFormat="false" ht="39" hidden="false" customHeight="true" outlineLevel="0" collapsed="false">
      <c r="A4" s="9" t="s">
        <v>36</v>
      </c>
      <c r="B4" s="9" t="s">
        <v>288</v>
      </c>
      <c r="C4" s="9" t="s">
        <v>289</v>
      </c>
      <c r="D4" s="9" t="s">
        <v>290</v>
      </c>
      <c r="E4" s="9" t="s">
        <v>291</v>
      </c>
      <c r="F4" s="9" t="s">
        <v>292</v>
      </c>
      <c r="G4" s="9" t="s">
        <v>293</v>
      </c>
      <c r="H4" s="9" t="s">
        <v>294</v>
      </c>
      <c r="I4" s="9" t="s">
        <v>44</v>
      </c>
      <c r="J4" s="9" t="s">
        <v>295</v>
      </c>
      <c r="K4" s="9" t="s">
        <v>296</v>
      </c>
      <c r="L4" s="9" t="s">
        <v>297</v>
      </c>
      <c r="M4" s="9" t="s">
        <v>298</v>
      </c>
    </row>
    <row r="5" customFormat="false" ht="35.05" hidden="false" customHeight="false" outlineLevel="0" collapsed="false">
      <c r="A5" s="10" t="s">
        <v>299</v>
      </c>
      <c r="B5" s="10" t="s">
        <v>300</v>
      </c>
      <c r="C5" s="10" t="s">
        <v>301</v>
      </c>
      <c r="D5" s="10" t="s">
        <v>302</v>
      </c>
      <c r="E5" s="10" t="s">
        <v>303</v>
      </c>
      <c r="F5" s="10" t="s">
        <v>304</v>
      </c>
      <c r="G5" s="10" t="s">
        <v>213</v>
      </c>
      <c r="H5" s="10" t="s">
        <v>305</v>
      </c>
      <c r="I5" s="10" t="s">
        <v>44</v>
      </c>
      <c r="J5" s="10" t="s">
        <v>306</v>
      </c>
      <c r="K5" s="10" t="s">
        <v>296</v>
      </c>
      <c r="L5" s="10" t="s">
        <v>307</v>
      </c>
      <c r="M5" s="10" t="s">
        <v>308</v>
      </c>
    </row>
    <row r="6" customFormat="false" ht="35.05" hidden="false" customHeight="false" outlineLevel="0" collapsed="false">
      <c r="A6" s="10" t="s">
        <v>299</v>
      </c>
      <c r="B6" s="10" t="s">
        <v>300</v>
      </c>
      <c r="C6" s="10" t="s">
        <v>309</v>
      </c>
      <c r="D6" s="10" t="s">
        <v>302</v>
      </c>
      <c r="E6" s="10" t="s">
        <v>310</v>
      </c>
      <c r="F6" s="10" t="s">
        <v>292</v>
      </c>
      <c r="G6" s="10" t="s">
        <v>311</v>
      </c>
      <c r="H6" s="10" t="s">
        <v>312</v>
      </c>
      <c r="I6" s="10" t="s">
        <v>44</v>
      </c>
      <c r="J6" s="10" t="s">
        <v>313</v>
      </c>
      <c r="K6" s="10" t="s">
        <v>296</v>
      </c>
      <c r="L6" s="10" t="s">
        <v>314</v>
      </c>
      <c r="M6" s="10" t="s">
        <v>315</v>
      </c>
    </row>
    <row r="7" customFormat="false" ht="35.05" hidden="false" customHeight="false" outlineLevel="0" collapsed="false">
      <c r="A7" s="10" t="s">
        <v>299</v>
      </c>
      <c r="B7" s="10" t="s">
        <v>300</v>
      </c>
      <c r="C7" s="10" t="s">
        <v>316</v>
      </c>
      <c r="D7" s="10" t="s">
        <v>302</v>
      </c>
      <c r="E7" s="10" t="s">
        <v>317</v>
      </c>
      <c r="F7" s="10" t="s">
        <v>292</v>
      </c>
      <c r="G7" s="10" t="s">
        <v>318</v>
      </c>
      <c r="H7" s="10" t="s">
        <v>312</v>
      </c>
      <c r="I7" s="10" t="s">
        <v>44</v>
      </c>
      <c r="J7" s="10" t="s">
        <v>313</v>
      </c>
      <c r="K7" s="10" t="s">
        <v>296</v>
      </c>
      <c r="L7" s="10" t="s">
        <v>314</v>
      </c>
      <c r="M7" s="10" t="s">
        <v>319</v>
      </c>
    </row>
    <row r="8" customFormat="false" ht="35.05" hidden="false" customHeight="false" outlineLevel="0" collapsed="false">
      <c r="A8" s="10" t="s">
        <v>299</v>
      </c>
      <c r="B8" s="10" t="s">
        <v>300</v>
      </c>
      <c r="C8" s="10" t="s">
        <v>320</v>
      </c>
      <c r="D8" s="10" t="s">
        <v>302</v>
      </c>
      <c r="E8" s="10" t="s">
        <v>321</v>
      </c>
      <c r="F8" s="10" t="s">
        <v>292</v>
      </c>
      <c r="G8" s="10" t="s">
        <v>322</v>
      </c>
      <c r="H8" s="10" t="s">
        <v>323</v>
      </c>
      <c r="I8" s="10" t="s">
        <v>44</v>
      </c>
      <c r="J8" s="10" t="s">
        <v>324</v>
      </c>
      <c r="K8" s="10" t="s">
        <v>296</v>
      </c>
      <c r="L8" s="10" t="s">
        <v>314</v>
      </c>
      <c r="M8" s="10" t="s">
        <v>325</v>
      </c>
    </row>
    <row r="9" customFormat="false" ht="35.05" hidden="false" customHeight="false" outlineLevel="0" collapsed="false">
      <c r="A9" s="10" t="s">
        <v>299</v>
      </c>
      <c r="B9" s="10" t="s">
        <v>300</v>
      </c>
      <c r="C9" s="10" t="s">
        <v>326</v>
      </c>
      <c r="D9" s="10" t="s">
        <v>302</v>
      </c>
      <c r="E9" s="10" t="s">
        <v>327</v>
      </c>
      <c r="F9" s="10" t="s">
        <v>292</v>
      </c>
      <c r="G9" s="10" t="s">
        <v>328</v>
      </c>
      <c r="H9" s="10" t="s">
        <v>323</v>
      </c>
      <c r="I9" s="10" t="s">
        <v>44</v>
      </c>
      <c r="J9" s="10" t="s">
        <v>329</v>
      </c>
      <c r="K9" s="10" t="s">
        <v>296</v>
      </c>
      <c r="L9" s="10" t="s">
        <v>330</v>
      </c>
      <c r="M9" s="10" t="s">
        <v>331</v>
      </c>
    </row>
    <row r="10" customFormat="false" ht="35.05" hidden="false" customHeight="false" outlineLevel="0" collapsed="false">
      <c r="A10" s="10" t="s">
        <v>36</v>
      </c>
      <c r="B10" s="10" t="s">
        <v>300</v>
      </c>
      <c r="C10" s="10" t="s">
        <v>332</v>
      </c>
      <c r="D10" s="10" t="s">
        <v>333</v>
      </c>
      <c r="E10" s="10" t="s">
        <v>334</v>
      </c>
      <c r="F10" s="10" t="s">
        <v>304</v>
      </c>
      <c r="G10" s="10" t="s">
        <v>213</v>
      </c>
      <c r="H10" s="10" t="s">
        <v>335</v>
      </c>
      <c r="I10" s="10" t="s">
        <v>336</v>
      </c>
      <c r="J10" s="10" t="s">
        <v>337</v>
      </c>
      <c r="K10" s="10" t="s">
        <v>296</v>
      </c>
      <c r="L10" s="10" t="s">
        <v>338</v>
      </c>
      <c r="M10" s="10" t="s">
        <v>339</v>
      </c>
    </row>
    <row r="11" customFormat="false" ht="35.05" hidden="false" customHeight="false" outlineLevel="0" collapsed="false">
      <c r="A11" s="10" t="s">
        <v>299</v>
      </c>
      <c r="B11" s="10" t="s">
        <v>300</v>
      </c>
      <c r="C11" s="10" t="s">
        <v>340</v>
      </c>
      <c r="D11" s="10" t="s">
        <v>341</v>
      </c>
      <c r="E11" s="10" t="s">
        <v>342</v>
      </c>
      <c r="F11" s="10" t="s">
        <v>343</v>
      </c>
      <c r="G11" s="10" t="s">
        <v>344</v>
      </c>
      <c r="H11" s="10" t="s">
        <v>345</v>
      </c>
      <c r="I11" s="10" t="s">
        <v>44</v>
      </c>
      <c r="J11" s="10" t="s">
        <v>346</v>
      </c>
      <c r="K11" s="10" t="s">
        <v>296</v>
      </c>
      <c r="L11" s="10" t="s">
        <v>347</v>
      </c>
      <c r="M11" s="10" t="s">
        <v>348</v>
      </c>
    </row>
    <row r="12" customFormat="false" ht="35.05" hidden="false" customHeight="false" outlineLevel="0" collapsed="false">
      <c r="A12" s="10" t="s">
        <v>299</v>
      </c>
      <c r="B12" s="10" t="s">
        <v>300</v>
      </c>
      <c r="C12" s="10" t="s">
        <v>349</v>
      </c>
      <c r="D12" s="10" t="s">
        <v>350</v>
      </c>
      <c r="E12" s="10" t="s">
        <v>351</v>
      </c>
      <c r="F12" s="10" t="s">
        <v>343</v>
      </c>
      <c r="G12" s="10" t="s">
        <v>344</v>
      </c>
      <c r="H12" s="10" t="s">
        <v>352</v>
      </c>
      <c r="I12" s="10" t="s">
        <v>44</v>
      </c>
      <c r="J12" s="10" t="s">
        <v>353</v>
      </c>
      <c r="K12" s="10" t="s">
        <v>296</v>
      </c>
      <c r="L12" s="10" t="s">
        <v>347</v>
      </c>
      <c r="M12" s="10" t="s">
        <v>348</v>
      </c>
    </row>
    <row r="13" customFormat="false" ht="35.05" hidden="false" customHeight="false" outlineLevel="0" collapsed="false">
      <c r="A13" s="10" t="s">
        <v>299</v>
      </c>
      <c r="B13" s="10" t="s">
        <v>300</v>
      </c>
      <c r="C13" s="10" t="s">
        <v>354</v>
      </c>
      <c r="D13" s="10" t="s">
        <v>302</v>
      </c>
      <c r="E13" s="10" t="s">
        <v>355</v>
      </c>
      <c r="F13" s="10" t="s">
        <v>356</v>
      </c>
      <c r="G13" s="10" t="s">
        <v>213</v>
      </c>
      <c r="H13" s="10" t="s">
        <v>357</v>
      </c>
      <c r="I13" s="10" t="s">
        <v>44</v>
      </c>
      <c r="J13" s="10" t="s">
        <v>358</v>
      </c>
      <c r="K13" s="10" t="s">
        <v>296</v>
      </c>
      <c r="L13" s="10" t="s">
        <v>359</v>
      </c>
      <c r="M13" s="10" t="s">
        <v>360</v>
      </c>
    </row>
    <row r="14" customFormat="false" ht="35.05" hidden="false" customHeight="false" outlineLevel="0" collapsed="false">
      <c r="A14" s="10" t="s">
        <v>299</v>
      </c>
      <c r="B14" s="10" t="s">
        <v>361</v>
      </c>
      <c r="C14" s="10" t="s">
        <v>362</v>
      </c>
      <c r="D14" s="10" t="s">
        <v>363</v>
      </c>
      <c r="E14" s="10" t="s">
        <v>364</v>
      </c>
      <c r="F14" s="10" t="s">
        <v>356</v>
      </c>
      <c r="G14" s="10" t="s">
        <v>213</v>
      </c>
      <c r="H14" s="10" t="s">
        <v>320</v>
      </c>
      <c r="I14" s="10" t="s">
        <v>44</v>
      </c>
      <c r="J14" s="10" t="s">
        <v>365</v>
      </c>
      <c r="K14" s="10" t="s">
        <v>296</v>
      </c>
      <c r="L14" s="10" t="s">
        <v>366</v>
      </c>
      <c r="M14" s="10" t="s">
        <v>367</v>
      </c>
    </row>
    <row r="15" customFormat="false" ht="35.05" hidden="false" customHeight="false" outlineLevel="0" collapsed="false">
      <c r="A15" s="10" t="s">
        <v>299</v>
      </c>
      <c r="B15" s="10" t="s">
        <v>361</v>
      </c>
      <c r="C15" s="10" t="s">
        <v>368</v>
      </c>
      <c r="D15" s="10" t="s">
        <v>369</v>
      </c>
      <c r="E15" s="10" t="s">
        <v>370</v>
      </c>
      <c r="F15" s="10" t="s">
        <v>304</v>
      </c>
      <c r="G15" s="10" t="s">
        <v>213</v>
      </c>
      <c r="H15" s="10" t="s">
        <v>371</v>
      </c>
      <c r="I15" s="10" t="s">
        <v>44</v>
      </c>
      <c r="J15" s="10" t="s">
        <v>372</v>
      </c>
      <c r="K15" s="10" t="s">
        <v>296</v>
      </c>
      <c r="L15" s="10" t="s">
        <v>373</v>
      </c>
      <c r="M15" s="10" t="s">
        <v>374</v>
      </c>
    </row>
    <row r="16" customFormat="false" ht="46.25" hidden="false" customHeight="false" outlineLevel="0" collapsed="false">
      <c r="A16" s="10" t="s">
        <v>299</v>
      </c>
      <c r="B16" s="10" t="s">
        <v>361</v>
      </c>
      <c r="C16" s="10" t="s">
        <v>375</v>
      </c>
      <c r="D16" s="10" t="s">
        <v>376</v>
      </c>
      <c r="E16" s="10" t="s">
        <v>377</v>
      </c>
      <c r="F16" s="10" t="s">
        <v>356</v>
      </c>
      <c r="G16" s="10" t="s">
        <v>213</v>
      </c>
      <c r="H16" s="10" t="s">
        <v>378</v>
      </c>
      <c r="I16" s="10" t="s">
        <v>44</v>
      </c>
      <c r="J16" s="10" t="s">
        <v>379</v>
      </c>
      <c r="K16" s="10" t="s">
        <v>296</v>
      </c>
      <c r="L16" s="10" t="s">
        <v>373</v>
      </c>
      <c r="M16" s="10" t="s">
        <v>380</v>
      </c>
    </row>
    <row r="17" customFormat="false" ht="57.45" hidden="false" customHeight="false" outlineLevel="0" collapsed="false">
      <c r="A17" s="10" t="s">
        <v>299</v>
      </c>
      <c r="B17" s="10" t="s">
        <v>361</v>
      </c>
      <c r="C17" s="10" t="s">
        <v>381</v>
      </c>
      <c r="D17" s="10" t="s">
        <v>382</v>
      </c>
      <c r="E17" s="10" t="s">
        <v>383</v>
      </c>
      <c r="F17" s="10" t="s">
        <v>356</v>
      </c>
      <c r="G17" s="10" t="s">
        <v>213</v>
      </c>
      <c r="H17" s="10" t="s">
        <v>384</v>
      </c>
      <c r="I17" s="10" t="s">
        <v>44</v>
      </c>
      <c r="J17" s="10" t="s">
        <v>385</v>
      </c>
      <c r="K17" s="10" t="s">
        <v>296</v>
      </c>
      <c r="L17" s="10" t="s">
        <v>373</v>
      </c>
      <c r="M17" s="10" t="s">
        <v>386</v>
      </c>
    </row>
    <row r="18" customFormat="false" ht="35.05" hidden="false" customHeight="false" outlineLevel="0" collapsed="false">
      <c r="A18" s="10" t="s">
        <v>299</v>
      </c>
      <c r="B18" s="10" t="s">
        <v>361</v>
      </c>
      <c r="C18" s="10" t="s">
        <v>340</v>
      </c>
      <c r="D18" s="10" t="s">
        <v>341</v>
      </c>
      <c r="E18" s="10" t="s">
        <v>342</v>
      </c>
      <c r="F18" s="10" t="s">
        <v>343</v>
      </c>
      <c r="G18" s="10" t="s">
        <v>344</v>
      </c>
      <c r="H18" s="10" t="s">
        <v>387</v>
      </c>
      <c r="I18" s="10" t="s">
        <v>44</v>
      </c>
      <c r="J18" s="10" t="s">
        <v>388</v>
      </c>
      <c r="K18" s="10" t="s">
        <v>296</v>
      </c>
      <c r="L18" s="10" t="s">
        <v>347</v>
      </c>
      <c r="M18" s="10" t="s">
        <v>348</v>
      </c>
    </row>
    <row r="19" customFormat="false" ht="35.05" hidden="false" customHeight="false" outlineLevel="0" collapsed="false">
      <c r="A19" s="10" t="s">
        <v>299</v>
      </c>
      <c r="B19" s="10" t="s">
        <v>361</v>
      </c>
      <c r="C19" s="10" t="s">
        <v>349</v>
      </c>
      <c r="D19" s="10" t="s">
        <v>350</v>
      </c>
      <c r="E19" s="10" t="s">
        <v>351</v>
      </c>
      <c r="F19" s="10" t="s">
        <v>343</v>
      </c>
      <c r="G19" s="10" t="s">
        <v>344</v>
      </c>
      <c r="H19" s="10" t="s">
        <v>389</v>
      </c>
      <c r="I19" s="10" t="s">
        <v>44</v>
      </c>
      <c r="J19" s="10" t="s">
        <v>353</v>
      </c>
      <c r="K19" s="10" t="s">
        <v>296</v>
      </c>
      <c r="L19" s="10" t="s">
        <v>347</v>
      </c>
      <c r="M19" s="10" t="s">
        <v>348</v>
      </c>
    </row>
    <row r="20" customFormat="false" ht="35.05" hidden="false" customHeight="false" outlineLevel="0" collapsed="false">
      <c r="A20" s="10" t="s">
        <v>36</v>
      </c>
      <c r="B20" s="10" t="s">
        <v>361</v>
      </c>
      <c r="C20" s="10" t="s">
        <v>332</v>
      </c>
      <c r="D20" s="10" t="s">
        <v>333</v>
      </c>
      <c r="E20" s="10" t="s">
        <v>334</v>
      </c>
      <c r="F20" s="10" t="s">
        <v>304</v>
      </c>
      <c r="G20" s="10" t="s">
        <v>213</v>
      </c>
      <c r="H20" s="10" t="s">
        <v>390</v>
      </c>
      <c r="I20" s="10" t="s">
        <v>336</v>
      </c>
      <c r="J20" s="10" t="s">
        <v>337</v>
      </c>
      <c r="K20" s="10" t="s">
        <v>296</v>
      </c>
      <c r="L20" s="10" t="s">
        <v>338</v>
      </c>
      <c r="M20" s="10" t="s">
        <v>339</v>
      </c>
    </row>
    <row r="21" customFormat="false" ht="46.25" hidden="false" customHeight="false" outlineLevel="0" collapsed="false">
      <c r="A21" s="10" t="s">
        <v>36</v>
      </c>
      <c r="B21" s="10" t="s">
        <v>361</v>
      </c>
      <c r="C21" s="10" t="s">
        <v>391</v>
      </c>
      <c r="D21" s="10" t="s">
        <v>392</v>
      </c>
      <c r="E21" s="10" t="s">
        <v>393</v>
      </c>
      <c r="F21" s="10" t="s">
        <v>304</v>
      </c>
      <c r="G21" s="10" t="s">
        <v>213</v>
      </c>
      <c r="H21" s="10" t="s">
        <v>394</v>
      </c>
      <c r="I21" s="10" t="s">
        <v>336</v>
      </c>
      <c r="J21" s="10" t="s">
        <v>395</v>
      </c>
      <c r="K21" s="10" t="s">
        <v>296</v>
      </c>
      <c r="L21" s="10" t="s">
        <v>396</v>
      </c>
      <c r="M21" s="10" t="s">
        <v>397</v>
      </c>
    </row>
    <row r="22" customFormat="false" ht="35.05" hidden="false" customHeight="false" outlineLevel="0" collapsed="false">
      <c r="A22" s="10" t="s">
        <v>299</v>
      </c>
      <c r="B22" s="10" t="s">
        <v>361</v>
      </c>
      <c r="C22" s="10" t="s">
        <v>398</v>
      </c>
      <c r="D22" s="10" t="s">
        <v>302</v>
      </c>
      <c r="E22" s="10" t="s">
        <v>399</v>
      </c>
      <c r="F22" s="10" t="s">
        <v>292</v>
      </c>
      <c r="G22" s="10" t="s">
        <v>400</v>
      </c>
      <c r="H22" s="10" t="s">
        <v>401</v>
      </c>
      <c r="I22" s="10" t="s">
        <v>44</v>
      </c>
      <c r="J22" s="10" t="s">
        <v>402</v>
      </c>
      <c r="K22" s="10" t="s">
        <v>296</v>
      </c>
      <c r="L22" s="10" t="s">
        <v>403</v>
      </c>
      <c r="M22" s="10" t="s">
        <v>404</v>
      </c>
    </row>
    <row r="23" customFormat="false" ht="35.05" hidden="false" customHeight="false" outlineLevel="0" collapsed="false">
      <c r="A23" s="10" t="s">
        <v>299</v>
      </c>
      <c r="B23" s="10" t="s">
        <v>361</v>
      </c>
      <c r="C23" s="10" t="s">
        <v>301</v>
      </c>
      <c r="D23" s="10" t="s">
        <v>302</v>
      </c>
      <c r="E23" s="10" t="s">
        <v>303</v>
      </c>
      <c r="F23" s="10" t="s">
        <v>304</v>
      </c>
      <c r="G23" s="10" t="s">
        <v>213</v>
      </c>
      <c r="H23" s="10" t="s">
        <v>405</v>
      </c>
      <c r="I23" s="10" t="s">
        <v>44</v>
      </c>
      <c r="J23" s="10" t="s">
        <v>306</v>
      </c>
      <c r="K23" s="10" t="s">
        <v>296</v>
      </c>
      <c r="L23" s="10" t="s">
        <v>307</v>
      </c>
      <c r="M23" s="10" t="s">
        <v>308</v>
      </c>
    </row>
    <row r="24" customFormat="false" ht="46.25" hidden="false" customHeight="false" outlineLevel="0" collapsed="false">
      <c r="A24" s="10" t="s">
        <v>36</v>
      </c>
      <c r="B24" s="10" t="s">
        <v>406</v>
      </c>
      <c r="C24" s="10" t="s">
        <v>391</v>
      </c>
      <c r="D24" s="10" t="s">
        <v>392</v>
      </c>
      <c r="E24" s="10" t="s">
        <v>393</v>
      </c>
      <c r="F24" s="10" t="s">
        <v>304</v>
      </c>
      <c r="G24" s="10" t="s">
        <v>213</v>
      </c>
      <c r="H24" s="10" t="s">
        <v>407</v>
      </c>
      <c r="I24" s="10" t="s">
        <v>44</v>
      </c>
      <c r="J24" s="10" t="s">
        <v>395</v>
      </c>
      <c r="K24" s="10" t="s">
        <v>296</v>
      </c>
      <c r="L24" s="10" t="s">
        <v>396</v>
      </c>
      <c r="M24" s="10" t="s">
        <v>397</v>
      </c>
    </row>
    <row r="25" customFormat="false" ht="35.05" hidden="false" customHeight="false" outlineLevel="0" collapsed="false">
      <c r="A25" s="10" t="s">
        <v>408</v>
      </c>
      <c r="B25" s="10" t="s">
        <v>406</v>
      </c>
      <c r="C25" s="10" t="s">
        <v>409</v>
      </c>
      <c r="D25" s="10" t="s">
        <v>410</v>
      </c>
      <c r="E25" s="10" t="s">
        <v>411</v>
      </c>
      <c r="F25" s="10" t="s">
        <v>356</v>
      </c>
      <c r="G25" s="10" t="s">
        <v>213</v>
      </c>
      <c r="H25" s="10" t="s">
        <v>412</v>
      </c>
      <c r="I25" s="10" t="s">
        <v>44</v>
      </c>
      <c r="J25" s="10" t="s">
        <v>413</v>
      </c>
      <c r="K25" s="10" t="s">
        <v>296</v>
      </c>
      <c r="L25" s="10" t="s">
        <v>414</v>
      </c>
      <c r="M25" s="10" t="s">
        <v>415</v>
      </c>
    </row>
    <row r="26" customFormat="false" ht="35.05" hidden="false" customHeight="false" outlineLevel="0" collapsed="false">
      <c r="A26" s="10" t="s">
        <v>408</v>
      </c>
      <c r="B26" s="10" t="s">
        <v>406</v>
      </c>
      <c r="C26" s="10" t="s">
        <v>416</v>
      </c>
      <c r="D26" s="10" t="s">
        <v>417</v>
      </c>
      <c r="E26" s="10" t="s">
        <v>418</v>
      </c>
      <c r="F26" s="10" t="s">
        <v>356</v>
      </c>
      <c r="G26" s="10" t="s">
        <v>213</v>
      </c>
      <c r="H26" s="11" t="s">
        <v>419</v>
      </c>
      <c r="I26" s="10" t="s">
        <v>44</v>
      </c>
      <c r="J26" s="10" t="s">
        <v>413</v>
      </c>
      <c r="K26" s="10" t="s">
        <v>296</v>
      </c>
      <c r="L26" s="10" t="s">
        <v>414</v>
      </c>
      <c r="M26" s="10" t="s">
        <v>420</v>
      </c>
    </row>
    <row r="27" customFormat="false" ht="35.05" hidden="false" customHeight="false" outlineLevel="0" collapsed="false">
      <c r="A27" s="10" t="s">
        <v>36</v>
      </c>
      <c r="B27" s="10" t="s">
        <v>406</v>
      </c>
      <c r="C27" s="10" t="s">
        <v>332</v>
      </c>
      <c r="D27" s="10" t="s">
        <v>333</v>
      </c>
      <c r="E27" s="10" t="s">
        <v>334</v>
      </c>
      <c r="F27" s="10" t="s">
        <v>304</v>
      </c>
      <c r="G27" s="10" t="s">
        <v>213</v>
      </c>
      <c r="H27" s="10" t="s">
        <v>421</v>
      </c>
      <c r="I27" s="10" t="s">
        <v>44</v>
      </c>
      <c r="J27" s="10" t="s">
        <v>337</v>
      </c>
      <c r="K27" s="10" t="s">
        <v>296</v>
      </c>
      <c r="L27" s="10" t="s">
        <v>338</v>
      </c>
      <c r="M27" s="10" t="s">
        <v>339</v>
      </c>
    </row>
    <row r="28" customFormat="false" ht="35.05" hidden="false" customHeight="false" outlineLevel="0" collapsed="false">
      <c r="A28" s="10" t="s">
        <v>36</v>
      </c>
      <c r="B28" s="10" t="s">
        <v>406</v>
      </c>
      <c r="C28" s="10" t="s">
        <v>422</v>
      </c>
      <c r="D28" s="10" t="s">
        <v>423</v>
      </c>
      <c r="E28" s="10" t="s">
        <v>424</v>
      </c>
      <c r="F28" s="10" t="s">
        <v>356</v>
      </c>
      <c r="G28" s="10" t="s">
        <v>213</v>
      </c>
      <c r="H28" s="10" t="s">
        <v>425</v>
      </c>
      <c r="I28" s="10" t="s">
        <v>44</v>
      </c>
      <c r="J28" s="10" t="s">
        <v>337</v>
      </c>
      <c r="K28" s="10" t="s">
        <v>296</v>
      </c>
      <c r="L28" s="10" t="s">
        <v>426</v>
      </c>
      <c r="M28" s="10" t="s">
        <v>427</v>
      </c>
    </row>
    <row r="29" customFormat="false" ht="35.05" hidden="false" customHeight="false" outlineLevel="0" collapsed="false">
      <c r="A29" s="10" t="s">
        <v>36</v>
      </c>
      <c r="B29" s="10" t="s">
        <v>406</v>
      </c>
      <c r="C29" s="10" t="s">
        <v>428</v>
      </c>
      <c r="D29" s="10" t="s">
        <v>363</v>
      </c>
      <c r="E29" s="10" t="s">
        <v>429</v>
      </c>
      <c r="F29" s="10" t="s">
        <v>356</v>
      </c>
      <c r="G29" s="10" t="s">
        <v>213</v>
      </c>
      <c r="H29" s="10" t="s">
        <v>425</v>
      </c>
      <c r="I29" s="10" t="s">
        <v>44</v>
      </c>
      <c r="J29" s="10" t="s">
        <v>337</v>
      </c>
      <c r="K29" s="10" t="s">
        <v>296</v>
      </c>
      <c r="L29" s="10" t="s">
        <v>430</v>
      </c>
      <c r="M29" s="10" t="s">
        <v>431</v>
      </c>
    </row>
    <row r="30" customFormat="false" ht="35.05" hidden="false" customHeight="false" outlineLevel="0" collapsed="false">
      <c r="A30" s="10" t="s">
        <v>36</v>
      </c>
      <c r="B30" s="10" t="s">
        <v>406</v>
      </c>
      <c r="C30" s="10" t="s">
        <v>432</v>
      </c>
      <c r="D30" s="10" t="s">
        <v>363</v>
      </c>
      <c r="E30" s="10" t="s">
        <v>433</v>
      </c>
      <c r="F30" s="10" t="s">
        <v>356</v>
      </c>
      <c r="G30" s="10" t="s">
        <v>213</v>
      </c>
      <c r="H30" s="10" t="s">
        <v>434</v>
      </c>
      <c r="I30" s="10" t="s">
        <v>44</v>
      </c>
      <c r="J30" s="10" t="s">
        <v>435</v>
      </c>
      <c r="K30" s="10" t="s">
        <v>296</v>
      </c>
      <c r="L30" s="10" t="s">
        <v>436</v>
      </c>
      <c r="M30" s="10" t="s">
        <v>437</v>
      </c>
    </row>
    <row r="31" customFormat="false" ht="35.05" hidden="false" customHeight="false" outlineLevel="0" collapsed="false">
      <c r="A31" s="10" t="s">
        <v>408</v>
      </c>
      <c r="B31" s="10" t="s">
        <v>406</v>
      </c>
      <c r="C31" s="10" t="s">
        <v>438</v>
      </c>
      <c r="D31" s="10" t="s">
        <v>439</v>
      </c>
      <c r="E31" s="10" t="s">
        <v>440</v>
      </c>
      <c r="F31" s="10" t="s">
        <v>441</v>
      </c>
      <c r="G31" s="10" t="s">
        <v>442</v>
      </c>
      <c r="H31" s="10" t="s">
        <v>443</v>
      </c>
      <c r="I31" s="10" t="s">
        <v>44</v>
      </c>
      <c r="J31" s="10" t="s">
        <v>444</v>
      </c>
      <c r="K31" s="10" t="s">
        <v>296</v>
      </c>
      <c r="L31" s="10" t="s">
        <v>445</v>
      </c>
      <c r="M31" s="10" t="s">
        <v>446</v>
      </c>
    </row>
    <row r="32" customFormat="false" ht="35.05" hidden="false" customHeight="false" outlineLevel="0" collapsed="false">
      <c r="A32" s="10" t="s">
        <v>408</v>
      </c>
      <c r="B32" s="10" t="s">
        <v>406</v>
      </c>
      <c r="C32" s="10" t="s">
        <v>447</v>
      </c>
      <c r="D32" s="10" t="s">
        <v>302</v>
      </c>
      <c r="E32" s="10" t="s">
        <v>448</v>
      </c>
      <c r="F32" s="10" t="s">
        <v>292</v>
      </c>
      <c r="G32" s="10" t="s">
        <v>322</v>
      </c>
      <c r="H32" s="10" t="s">
        <v>449</v>
      </c>
      <c r="I32" s="10" t="s">
        <v>44</v>
      </c>
      <c r="J32" s="10" t="s">
        <v>450</v>
      </c>
      <c r="K32" s="10" t="s">
        <v>296</v>
      </c>
      <c r="L32" s="10" t="s">
        <v>451</v>
      </c>
      <c r="M32" s="10" t="s">
        <v>452</v>
      </c>
    </row>
    <row r="33" customFormat="false" ht="35.05" hidden="false" customHeight="false" outlineLevel="0" collapsed="false">
      <c r="A33" s="10" t="s">
        <v>408</v>
      </c>
      <c r="B33" s="10" t="s">
        <v>406</v>
      </c>
      <c r="C33" s="10" t="s">
        <v>453</v>
      </c>
      <c r="D33" s="10" t="s">
        <v>302</v>
      </c>
      <c r="E33" s="10" t="s">
        <v>454</v>
      </c>
      <c r="F33" s="10" t="s">
        <v>441</v>
      </c>
      <c r="G33" s="10" t="s">
        <v>455</v>
      </c>
      <c r="H33" s="10" t="s">
        <v>456</v>
      </c>
      <c r="I33" s="10" t="s">
        <v>44</v>
      </c>
      <c r="J33" s="10" t="s">
        <v>457</v>
      </c>
      <c r="K33" s="10" t="s">
        <v>296</v>
      </c>
      <c r="L33" s="10" t="s">
        <v>458</v>
      </c>
      <c r="M33" s="10" t="s">
        <v>459</v>
      </c>
    </row>
    <row r="34" customFormat="false" ht="35.05" hidden="false" customHeight="false" outlineLevel="0" collapsed="false">
      <c r="A34" s="10" t="s">
        <v>408</v>
      </c>
      <c r="B34" s="10" t="s">
        <v>406</v>
      </c>
      <c r="C34" s="10" t="s">
        <v>460</v>
      </c>
      <c r="D34" s="10" t="s">
        <v>302</v>
      </c>
      <c r="E34" s="10" t="s">
        <v>461</v>
      </c>
      <c r="F34" s="10" t="s">
        <v>292</v>
      </c>
      <c r="G34" s="10" t="s">
        <v>328</v>
      </c>
      <c r="H34" s="10" t="s">
        <v>462</v>
      </c>
      <c r="I34" s="10" t="s">
        <v>44</v>
      </c>
      <c r="J34" s="10" t="s">
        <v>463</v>
      </c>
      <c r="K34" s="10" t="s">
        <v>296</v>
      </c>
      <c r="L34" s="10" t="s">
        <v>464</v>
      </c>
      <c r="M34" s="10" t="s">
        <v>465</v>
      </c>
    </row>
    <row r="35" customFormat="false" ht="68.65" hidden="false" customHeight="false" outlineLevel="0" collapsed="false">
      <c r="A35" s="10" t="s">
        <v>36</v>
      </c>
      <c r="B35" s="10" t="s">
        <v>466</v>
      </c>
      <c r="C35" s="10" t="s">
        <v>332</v>
      </c>
      <c r="D35" s="10" t="s">
        <v>333</v>
      </c>
      <c r="E35" s="10" t="s">
        <v>334</v>
      </c>
      <c r="F35" s="10" t="s">
        <v>304</v>
      </c>
      <c r="G35" s="10" t="s">
        <v>213</v>
      </c>
      <c r="H35" s="10" t="s">
        <v>467</v>
      </c>
      <c r="I35" s="10" t="s">
        <v>44</v>
      </c>
      <c r="J35" s="10" t="s">
        <v>337</v>
      </c>
      <c r="K35" s="10" t="s">
        <v>296</v>
      </c>
      <c r="L35" s="10" t="s">
        <v>468</v>
      </c>
      <c r="M35" s="10" t="s">
        <v>339</v>
      </c>
    </row>
    <row r="36" customFormat="false" ht="57.45" hidden="false" customHeight="false" outlineLevel="0" collapsed="false">
      <c r="A36" s="10" t="s">
        <v>36</v>
      </c>
      <c r="B36" s="10" t="s">
        <v>466</v>
      </c>
      <c r="C36" s="10" t="s">
        <v>422</v>
      </c>
      <c r="D36" s="10" t="s">
        <v>423</v>
      </c>
      <c r="E36" s="10" t="s">
        <v>424</v>
      </c>
      <c r="F36" s="10" t="s">
        <v>356</v>
      </c>
      <c r="G36" s="10" t="s">
        <v>213</v>
      </c>
      <c r="H36" s="10" t="s">
        <v>469</v>
      </c>
      <c r="I36" s="10" t="s">
        <v>44</v>
      </c>
      <c r="J36" s="10" t="s">
        <v>337</v>
      </c>
      <c r="K36" s="10" t="s">
        <v>296</v>
      </c>
      <c r="L36" s="10" t="s">
        <v>470</v>
      </c>
      <c r="M36" s="10" t="s">
        <v>427</v>
      </c>
    </row>
    <row r="37" customFormat="false" ht="57.45" hidden="false" customHeight="false" outlineLevel="0" collapsed="false">
      <c r="A37" s="10" t="s">
        <v>84</v>
      </c>
      <c r="B37" s="10" t="s">
        <v>466</v>
      </c>
      <c r="C37" s="10" t="s">
        <v>471</v>
      </c>
      <c r="D37" s="10" t="s">
        <v>472</v>
      </c>
      <c r="E37" s="10" t="s">
        <v>473</v>
      </c>
      <c r="F37" s="10" t="s">
        <v>356</v>
      </c>
      <c r="G37" s="10" t="s">
        <v>213</v>
      </c>
      <c r="H37" s="11" t="s">
        <v>474</v>
      </c>
      <c r="I37" s="10" t="s">
        <v>44</v>
      </c>
      <c r="J37" s="10" t="s">
        <v>337</v>
      </c>
      <c r="K37" s="10" t="s">
        <v>296</v>
      </c>
      <c r="L37" s="10" t="s">
        <v>475</v>
      </c>
      <c r="M37" s="10" t="s">
        <v>476</v>
      </c>
    </row>
    <row r="38" customFormat="false" ht="46.25" hidden="false" customHeight="false" outlineLevel="0" collapsed="false">
      <c r="A38" s="10" t="s">
        <v>36</v>
      </c>
      <c r="B38" s="10" t="s">
        <v>466</v>
      </c>
      <c r="C38" s="10" t="s">
        <v>428</v>
      </c>
      <c r="D38" s="10" t="s">
        <v>363</v>
      </c>
      <c r="E38" s="10" t="s">
        <v>429</v>
      </c>
      <c r="F38" s="10" t="s">
        <v>356</v>
      </c>
      <c r="G38" s="10" t="s">
        <v>213</v>
      </c>
      <c r="H38" s="10" t="s">
        <v>477</v>
      </c>
      <c r="I38" s="10" t="s">
        <v>44</v>
      </c>
      <c r="J38" s="10" t="s">
        <v>337</v>
      </c>
      <c r="K38" s="10" t="s">
        <v>296</v>
      </c>
      <c r="L38" s="10" t="s">
        <v>478</v>
      </c>
      <c r="M38" s="10" t="s">
        <v>431</v>
      </c>
    </row>
    <row r="39" customFormat="false" ht="68.65" hidden="false" customHeight="false" outlineLevel="0" collapsed="false">
      <c r="A39" s="10" t="s">
        <v>36</v>
      </c>
      <c r="B39" s="10" t="s">
        <v>466</v>
      </c>
      <c r="C39" s="10" t="s">
        <v>432</v>
      </c>
      <c r="D39" s="10" t="s">
        <v>363</v>
      </c>
      <c r="E39" s="10" t="s">
        <v>433</v>
      </c>
      <c r="F39" s="10" t="s">
        <v>356</v>
      </c>
      <c r="G39" s="10" t="s">
        <v>213</v>
      </c>
      <c r="H39" s="10" t="s">
        <v>434</v>
      </c>
      <c r="I39" s="10" t="s">
        <v>44</v>
      </c>
      <c r="J39" s="10" t="s">
        <v>435</v>
      </c>
      <c r="K39" s="10" t="s">
        <v>296</v>
      </c>
      <c r="L39" s="10" t="s">
        <v>479</v>
      </c>
      <c r="M39" s="10" t="s">
        <v>437</v>
      </c>
    </row>
    <row r="40" customFormat="false" ht="57.45" hidden="false" customHeight="false" outlineLevel="0" collapsed="false">
      <c r="A40" s="10" t="s">
        <v>65</v>
      </c>
      <c r="B40" s="10" t="s">
        <v>466</v>
      </c>
      <c r="C40" s="10" t="s">
        <v>480</v>
      </c>
      <c r="D40" s="10" t="s">
        <v>481</v>
      </c>
      <c r="E40" s="10" t="s">
        <v>482</v>
      </c>
      <c r="F40" s="10" t="s">
        <v>292</v>
      </c>
      <c r="G40" s="10" t="s">
        <v>483</v>
      </c>
      <c r="H40" s="10" t="s">
        <v>484</v>
      </c>
      <c r="I40" s="10" t="s">
        <v>44</v>
      </c>
      <c r="J40" s="10" t="s">
        <v>485</v>
      </c>
      <c r="K40" s="10" t="s">
        <v>296</v>
      </c>
      <c r="L40" s="10" t="s">
        <v>486</v>
      </c>
      <c r="M40" s="10" t="s">
        <v>487</v>
      </c>
    </row>
    <row r="41" customFormat="false" ht="46.25" hidden="false" customHeight="false" outlineLevel="0" collapsed="false">
      <c r="A41" s="10" t="s">
        <v>65</v>
      </c>
      <c r="B41" s="10" t="s">
        <v>466</v>
      </c>
      <c r="C41" s="10" t="s">
        <v>488</v>
      </c>
      <c r="D41" s="10" t="s">
        <v>489</v>
      </c>
      <c r="E41" s="10" t="s">
        <v>490</v>
      </c>
      <c r="F41" s="10" t="s">
        <v>292</v>
      </c>
      <c r="G41" s="10" t="s">
        <v>491</v>
      </c>
      <c r="H41" s="10" t="s">
        <v>492</v>
      </c>
      <c r="I41" s="10" t="s">
        <v>44</v>
      </c>
      <c r="J41" s="10" t="s">
        <v>493</v>
      </c>
      <c r="K41" s="10" t="s">
        <v>296</v>
      </c>
      <c r="L41" s="10" t="s">
        <v>494</v>
      </c>
      <c r="M41" s="10" t="s">
        <v>495</v>
      </c>
    </row>
    <row r="42" customFormat="false" ht="46.25" hidden="false" customHeight="false" outlineLevel="0" collapsed="false">
      <c r="A42" s="10" t="s">
        <v>65</v>
      </c>
      <c r="B42" s="10" t="s">
        <v>466</v>
      </c>
      <c r="C42" s="10" t="s">
        <v>496</v>
      </c>
      <c r="D42" s="10" t="s">
        <v>497</v>
      </c>
      <c r="E42" s="10" t="s">
        <v>498</v>
      </c>
      <c r="F42" s="10" t="s">
        <v>441</v>
      </c>
      <c r="G42" s="10" t="s">
        <v>499</v>
      </c>
      <c r="H42" s="10" t="s">
        <v>500</v>
      </c>
      <c r="I42" s="10" t="s">
        <v>44</v>
      </c>
      <c r="J42" s="10" t="s">
        <v>501</v>
      </c>
      <c r="K42" s="10" t="s">
        <v>296</v>
      </c>
      <c r="L42" s="10" t="s">
        <v>494</v>
      </c>
      <c r="M42" s="10" t="s">
        <v>502</v>
      </c>
    </row>
    <row r="43" customFormat="false" ht="68.65" hidden="false" customHeight="false" outlineLevel="0" collapsed="false">
      <c r="A43" s="10" t="s">
        <v>65</v>
      </c>
      <c r="B43" s="10" t="s">
        <v>466</v>
      </c>
      <c r="C43" s="10" t="s">
        <v>503</v>
      </c>
      <c r="D43" s="10" t="s">
        <v>504</v>
      </c>
      <c r="E43" s="10" t="s">
        <v>505</v>
      </c>
      <c r="F43" s="10" t="s">
        <v>441</v>
      </c>
      <c r="G43" s="10" t="s">
        <v>506</v>
      </c>
      <c r="H43" s="10" t="s">
        <v>507</v>
      </c>
      <c r="I43" s="10" t="s">
        <v>44</v>
      </c>
      <c r="J43" s="10" t="s">
        <v>508</v>
      </c>
      <c r="K43" s="10" t="s">
        <v>296</v>
      </c>
      <c r="L43" s="10" t="s">
        <v>509</v>
      </c>
      <c r="M43" s="10" t="s">
        <v>510</v>
      </c>
    </row>
    <row r="44" customFormat="false" ht="46.25" hidden="false" customHeight="false" outlineLevel="0" collapsed="false">
      <c r="A44" s="10" t="s">
        <v>65</v>
      </c>
      <c r="B44" s="10" t="s">
        <v>466</v>
      </c>
      <c r="C44" s="10" t="s">
        <v>511</v>
      </c>
      <c r="D44" s="10" t="s">
        <v>512</v>
      </c>
      <c r="E44" s="10" t="s">
        <v>513</v>
      </c>
      <c r="F44" s="10" t="s">
        <v>292</v>
      </c>
      <c r="G44" s="10" t="s">
        <v>514</v>
      </c>
      <c r="H44" s="10" t="s">
        <v>515</v>
      </c>
      <c r="I44" s="10" t="s">
        <v>44</v>
      </c>
      <c r="J44" s="10" t="s">
        <v>516</v>
      </c>
      <c r="K44" s="10" t="s">
        <v>296</v>
      </c>
      <c r="L44" s="10" t="s">
        <v>494</v>
      </c>
      <c r="M44" s="10" t="s">
        <v>517</v>
      </c>
    </row>
    <row r="45" customFormat="false" ht="57.45" hidden="false" customHeight="false" outlineLevel="0" collapsed="false">
      <c r="A45" s="10" t="s">
        <v>65</v>
      </c>
      <c r="B45" s="10" t="s">
        <v>466</v>
      </c>
      <c r="C45" s="10" t="s">
        <v>518</v>
      </c>
      <c r="D45" s="10" t="s">
        <v>519</v>
      </c>
      <c r="E45" s="10" t="s">
        <v>520</v>
      </c>
      <c r="F45" s="10" t="s">
        <v>292</v>
      </c>
      <c r="G45" s="10" t="s">
        <v>483</v>
      </c>
      <c r="H45" s="10" t="s">
        <v>521</v>
      </c>
      <c r="I45" s="10" t="s">
        <v>44</v>
      </c>
      <c r="J45" s="10" t="s">
        <v>522</v>
      </c>
      <c r="K45" s="10" t="s">
        <v>296</v>
      </c>
      <c r="L45" s="10" t="s">
        <v>523</v>
      </c>
      <c r="M45" s="10" t="s">
        <v>524</v>
      </c>
    </row>
    <row r="46" customFormat="false" ht="46.25" hidden="false" customHeight="false" outlineLevel="0" collapsed="false">
      <c r="A46" s="10" t="s">
        <v>65</v>
      </c>
      <c r="B46" s="10" t="s">
        <v>466</v>
      </c>
      <c r="C46" s="10" t="s">
        <v>525</v>
      </c>
      <c r="D46" s="10" t="s">
        <v>526</v>
      </c>
      <c r="E46" s="10" t="s">
        <v>527</v>
      </c>
      <c r="F46" s="10" t="s">
        <v>292</v>
      </c>
      <c r="G46" s="10" t="s">
        <v>483</v>
      </c>
      <c r="H46" s="10" t="s">
        <v>528</v>
      </c>
      <c r="I46" s="10" t="s">
        <v>44</v>
      </c>
      <c r="J46" s="10" t="s">
        <v>529</v>
      </c>
      <c r="K46" s="10" t="s">
        <v>296</v>
      </c>
      <c r="L46" s="10" t="s">
        <v>494</v>
      </c>
      <c r="M46" s="10" t="s">
        <v>530</v>
      </c>
    </row>
    <row r="47" customFormat="false" ht="46.25" hidden="false" customHeight="false" outlineLevel="0" collapsed="false">
      <c r="A47" s="10" t="s">
        <v>65</v>
      </c>
      <c r="B47" s="10" t="s">
        <v>466</v>
      </c>
      <c r="C47" s="10" t="s">
        <v>531</v>
      </c>
      <c r="D47" s="10" t="s">
        <v>532</v>
      </c>
      <c r="E47" s="10" t="s">
        <v>533</v>
      </c>
      <c r="F47" s="10" t="s">
        <v>292</v>
      </c>
      <c r="G47" s="10" t="s">
        <v>483</v>
      </c>
      <c r="H47" s="10" t="s">
        <v>534</v>
      </c>
      <c r="I47" s="10" t="s">
        <v>44</v>
      </c>
      <c r="J47" s="10" t="s">
        <v>535</v>
      </c>
      <c r="K47" s="10" t="s">
        <v>296</v>
      </c>
      <c r="L47" s="10" t="s">
        <v>494</v>
      </c>
      <c r="M47" s="10" t="s">
        <v>536</v>
      </c>
    </row>
    <row r="48" customFormat="false" ht="46.25" hidden="false" customHeight="false" outlineLevel="0" collapsed="false">
      <c r="A48" s="10" t="s">
        <v>65</v>
      </c>
      <c r="B48" s="10" t="s">
        <v>466</v>
      </c>
      <c r="C48" s="10" t="s">
        <v>537</v>
      </c>
      <c r="D48" s="10" t="s">
        <v>538</v>
      </c>
      <c r="E48" s="10" t="s">
        <v>539</v>
      </c>
      <c r="F48" s="10" t="s">
        <v>292</v>
      </c>
      <c r="G48" s="10" t="s">
        <v>483</v>
      </c>
      <c r="H48" s="10" t="s">
        <v>540</v>
      </c>
      <c r="I48" s="10" t="s">
        <v>44</v>
      </c>
      <c r="J48" s="10" t="s">
        <v>541</v>
      </c>
      <c r="K48" s="10" t="s">
        <v>296</v>
      </c>
      <c r="L48" s="10" t="s">
        <v>494</v>
      </c>
      <c r="M48" s="10" t="s">
        <v>542</v>
      </c>
    </row>
    <row r="49" customFormat="false" ht="46.25" hidden="false" customHeight="false" outlineLevel="0" collapsed="false">
      <c r="A49" s="10" t="s">
        <v>65</v>
      </c>
      <c r="B49" s="10" t="s">
        <v>466</v>
      </c>
      <c r="C49" s="10" t="s">
        <v>543</v>
      </c>
      <c r="D49" s="10" t="s">
        <v>544</v>
      </c>
      <c r="E49" s="10" t="s">
        <v>545</v>
      </c>
      <c r="F49" s="10" t="s">
        <v>292</v>
      </c>
      <c r="G49" s="10" t="s">
        <v>483</v>
      </c>
      <c r="H49" s="10" t="s">
        <v>546</v>
      </c>
      <c r="I49" s="10" t="s">
        <v>44</v>
      </c>
      <c r="J49" s="10" t="s">
        <v>547</v>
      </c>
      <c r="K49" s="10" t="s">
        <v>296</v>
      </c>
      <c r="L49" s="10" t="s">
        <v>494</v>
      </c>
      <c r="M49" s="10" t="s">
        <v>548</v>
      </c>
    </row>
    <row r="50" customFormat="false" ht="57.45" hidden="false" customHeight="false" outlineLevel="0" collapsed="false">
      <c r="A50" s="10" t="s">
        <v>65</v>
      </c>
      <c r="B50" s="10" t="s">
        <v>466</v>
      </c>
      <c r="C50" s="10" t="s">
        <v>549</v>
      </c>
      <c r="D50" s="10" t="s">
        <v>302</v>
      </c>
      <c r="E50" s="10" t="s">
        <v>550</v>
      </c>
      <c r="F50" s="10" t="s">
        <v>441</v>
      </c>
      <c r="G50" s="10" t="s">
        <v>551</v>
      </c>
      <c r="H50" s="10" t="s">
        <v>552</v>
      </c>
      <c r="I50" s="10" t="s">
        <v>44</v>
      </c>
      <c r="J50" s="10" t="s">
        <v>553</v>
      </c>
      <c r="K50" s="10" t="s">
        <v>296</v>
      </c>
      <c r="L50" s="10" t="s">
        <v>554</v>
      </c>
      <c r="M50" s="10" t="s">
        <v>555</v>
      </c>
    </row>
    <row r="51" customFormat="false" ht="46.25" hidden="false" customHeight="false" outlineLevel="0" collapsed="false">
      <c r="A51" s="10" t="s">
        <v>65</v>
      </c>
      <c r="B51" s="10" t="s">
        <v>466</v>
      </c>
      <c r="C51" s="10" t="s">
        <v>556</v>
      </c>
      <c r="D51" s="10" t="s">
        <v>302</v>
      </c>
      <c r="E51" s="10" t="s">
        <v>557</v>
      </c>
      <c r="F51" s="10" t="s">
        <v>441</v>
      </c>
      <c r="G51" s="10" t="s">
        <v>551</v>
      </c>
      <c r="H51" s="10" t="s">
        <v>558</v>
      </c>
      <c r="I51" s="10" t="s">
        <v>44</v>
      </c>
      <c r="J51" s="10" t="s">
        <v>559</v>
      </c>
      <c r="K51" s="10" t="s">
        <v>296</v>
      </c>
      <c r="L51" s="10" t="s">
        <v>560</v>
      </c>
      <c r="M51" s="10" t="s">
        <v>561</v>
      </c>
    </row>
    <row r="52" customFormat="false" ht="46.25" hidden="false" customHeight="false" outlineLevel="0" collapsed="false">
      <c r="A52" s="10" t="s">
        <v>65</v>
      </c>
      <c r="B52" s="10" t="s">
        <v>466</v>
      </c>
      <c r="C52" s="10" t="s">
        <v>562</v>
      </c>
      <c r="D52" s="10" t="s">
        <v>302</v>
      </c>
      <c r="E52" s="10" t="s">
        <v>563</v>
      </c>
      <c r="F52" s="10" t="s">
        <v>441</v>
      </c>
      <c r="G52" s="10" t="s">
        <v>551</v>
      </c>
      <c r="H52" s="10" t="s">
        <v>564</v>
      </c>
      <c r="I52" s="10" t="s">
        <v>44</v>
      </c>
      <c r="J52" s="10" t="s">
        <v>565</v>
      </c>
      <c r="K52" s="10" t="s">
        <v>296</v>
      </c>
      <c r="L52" s="10" t="s">
        <v>566</v>
      </c>
      <c r="M52" s="10" t="s">
        <v>567</v>
      </c>
    </row>
    <row r="53" customFormat="false" ht="46.25" hidden="false" customHeight="false" outlineLevel="0" collapsed="false">
      <c r="A53" s="10" t="s">
        <v>65</v>
      </c>
      <c r="B53" s="10" t="s">
        <v>466</v>
      </c>
      <c r="C53" s="10" t="s">
        <v>568</v>
      </c>
      <c r="D53" s="10" t="s">
        <v>302</v>
      </c>
      <c r="E53" s="10" t="s">
        <v>569</v>
      </c>
      <c r="F53" s="10" t="s">
        <v>441</v>
      </c>
      <c r="G53" s="10" t="s">
        <v>551</v>
      </c>
      <c r="H53" s="10" t="s">
        <v>570</v>
      </c>
      <c r="I53" s="10" t="s">
        <v>44</v>
      </c>
      <c r="J53" s="10" t="s">
        <v>571</v>
      </c>
      <c r="K53" s="10" t="s">
        <v>296</v>
      </c>
      <c r="L53" s="10" t="s">
        <v>572</v>
      </c>
      <c r="M53" s="10" t="s">
        <v>573</v>
      </c>
    </row>
    <row r="54" customFormat="false" ht="57.45" hidden="false" customHeight="false" outlineLevel="0" collapsed="false">
      <c r="A54" s="10" t="s">
        <v>65</v>
      </c>
      <c r="B54" s="10" t="s">
        <v>466</v>
      </c>
      <c r="C54" s="10" t="s">
        <v>574</v>
      </c>
      <c r="D54" s="10" t="s">
        <v>302</v>
      </c>
      <c r="E54" s="10" t="s">
        <v>575</v>
      </c>
      <c r="F54" s="10" t="s">
        <v>441</v>
      </c>
      <c r="G54" s="10" t="s">
        <v>551</v>
      </c>
      <c r="H54" s="10" t="s">
        <v>576</v>
      </c>
      <c r="I54" s="10" t="s">
        <v>44</v>
      </c>
      <c r="J54" s="10" t="s">
        <v>577</v>
      </c>
      <c r="K54" s="10" t="s">
        <v>296</v>
      </c>
      <c r="L54" s="10" t="s">
        <v>578</v>
      </c>
      <c r="M54" s="10" t="s">
        <v>510</v>
      </c>
    </row>
    <row r="55" customFormat="false" ht="46.25" hidden="false" customHeight="false" outlineLevel="0" collapsed="false">
      <c r="A55" s="10" t="s">
        <v>65</v>
      </c>
      <c r="B55" s="10" t="s">
        <v>466</v>
      </c>
      <c r="C55" s="10" t="s">
        <v>579</v>
      </c>
      <c r="D55" s="10" t="s">
        <v>302</v>
      </c>
      <c r="E55" s="10" t="s">
        <v>580</v>
      </c>
      <c r="F55" s="10" t="s">
        <v>441</v>
      </c>
      <c r="G55" s="10" t="s">
        <v>581</v>
      </c>
      <c r="H55" s="10" t="s">
        <v>582</v>
      </c>
      <c r="I55" s="10" t="s">
        <v>44</v>
      </c>
      <c r="J55" s="10" t="s">
        <v>583</v>
      </c>
      <c r="K55" s="10" t="s">
        <v>296</v>
      </c>
      <c r="L55" s="10" t="s">
        <v>584</v>
      </c>
      <c r="M55" s="10" t="s">
        <v>585</v>
      </c>
    </row>
    <row r="56" customFormat="false" ht="68.65" hidden="false" customHeight="false" outlineLevel="0" collapsed="false">
      <c r="A56" s="10" t="s">
        <v>65</v>
      </c>
      <c r="B56" s="10" t="s">
        <v>466</v>
      </c>
      <c r="C56" s="10" t="s">
        <v>586</v>
      </c>
      <c r="D56" s="10" t="s">
        <v>587</v>
      </c>
      <c r="E56" s="10" t="s">
        <v>588</v>
      </c>
      <c r="F56" s="10" t="s">
        <v>292</v>
      </c>
      <c r="G56" s="10" t="s">
        <v>483</v>
      </c>
      <c r="H56" s="10" t="s">
        <v>589</v>
      </c>
      <c r="I56" s="10" t="s">
        <v>44</v>
      </c>
      <c r="J56" s="10" t="s">
        <v>590</v>
      </c>
      <c r="K56" s="10" t="s">
        <v>296</v>
      </c>
      <c r="L56" s="10" t="s">
        <v>591</v>
      </c>
      <c r="M56" s="10" t="s">
        <v>592</v>
      </c>
    </row>
    <row r="57" customFormat="false" ht="57.45" hidden="false" customHeight="false" outlineLevel="0" collapsed="false">
      <c r="A57" s="10" t="s">
        <v>65</v>
      </c>
      <c r="B57" s="10" t="s">
        <v>466</v>
      </c>
      <c r="C57" s="10" t="s">
        <v>593</v>
      </c>
      <c r="D57" s="10" t="s">
        <v>302</v>
      </c>
      <c r="E57" s="10" t="s">
        <v>594</v>
      </c>
      <c r="F57" s="10" t="s">
        <v>441</v>
      </c>
      <c r="G57" s="10" t="s">
        <v>551</v>
      </c>
      <c r="H57" s="10" t="s">
        <v>595</v>
      </c>
      <c r="I57" s="10" t="s">
        <v>44</v>
      </c>
      <c r="J57" s="10" t="s">
        <v>596</v>
      </c>
      <c r="K57" s="10" t="s">
        <v>296</v>
      </c>
      <c r="L57" s="10" t="s">
        <v>597</v>
      </c>
      <c r="M57" s="10" t="s">
        <v>598</v>
      </c>
    </row>
    <row r="58" customFormat="false" ht="46.25" hidden="false" customHeight="false" outlineLevel="0" collapsed="false">
      <c r="A58" s="10" t="s">
        <v>65</v>
      </c>
      <c r="B58" s="10" t="s">
        <v>466</v>
      </c>
      <c r="C58" s="10" t="s">
        <v>599</v>
      </c>
      <c r="D58" s="10" t="s">
        <v>600</v>
      </c>
      <c r="E58" s="10" t="s">
        <v>601</v>
      </c>
      <c r="F58" s="10" t="s">
        <v>292</v>
      </c>
      <c r="G58" s="10" t="s">
        <v>483</v>
      </c>
      <c r="H58" s="10" t="s">
        <v>602</v>
      </c>
      <c r="I58" s="10" t="s">
        <v>44</v>
      </c>
      <c r="J58" s="10" t="s">
        <v>603</v>
      </c>
      <c r="K58" s="10" t="s">
        <v>296</v>
      </c>
      <c r="L58" s="10" t="s">
        <v>494</v>
      </c>
      <c r="M58" s="10" t="s">
        <v>604</v>
      </c>
    </row>
    <row r="59" customFormat="false" ht="46.25" hidden="false" customHeight="false" outlineLevel="0" collapsed="false">
      <c r="A59" s="10" t="s">
        <v>65</v>
      </c>
      <c r="B59" s="10" t="s">
        <v>466</v>
      </c>
      <c r="C59" s="10" t="s">
        <v>605</v>
      </c>
      <c r="D59" s="10" t="s">
        <v>302</v>
      </c>
      <c r="E59" s="10" t="s">
        <v>606</v>
      </c>
      <c r="F59" s="10" t="s">
        <v>441</v>
      </c>
      <c r="G59" s="10" t="s">
        <v>551</v>
      </c>
      <c r="H59" s="10" t="s">
        <v>607</v>
      </c>
      <c r="I59" s="10" t="s">
        <v>44</v>
      </c>
      <c r="J59" s="10" t="s">
        <v>608</v>
      </c>
      <c r="K59" s="10" t="s">
        <v>296</v>
      </c>
      <c r="L59" s="10" t="s">
        <v>609</v>
      </c>
      <c r="M59" s="10" t="s">
        <v>610</v>
      </c>
    </row>
    <row r="60" customFormat="false" ht="57.45" hidden="false" customHeight="false" outlineLevel="0" collapsed="false">
      <c r="A60" s="10" t="s">
        <v>65</v>
      </c>
      <c r="B60" s="10" t="s">
        <v>466</v>
      </c>
      <c r="C60" s="10" t="s">
        <v>611</v>
      </c>
      <c r="D60" s="10" t="s">
        <v>612</v>
      </c>
      <c r="E60" s="10" t="s">
        <v>613</v>
      </c>
      <c r="F60" s="10" t="s">
        <v>292</v>
      </c>
      <c r="G60" s="10" t="s">
        <v>483</v>
      </c>
      <c r="H60" s="10" t="s">
        <v>614</v>
      </c>
      <c r="I60" s="10" t="s">
        <v>44</v>
      </c>
      <c r="J60" s="10" t="s">
        <v>615</v>
      </c>
      <c r="K60" s="10" t="s">
        <v>296</v>
      </c>
      <c r="L60" s="10" t="s">
        <v>616</v>
      </c>
      <c r="M60" s="10" t="s">
        <v>617</v>
      </c>
    </row>
    <row r="61" customFormat="false" ht="57.45" hidden="false" customHeight="false" outlineLevel="0" collapsed="false">
      <c r="A61" s="10" t="s">
        <v>65</v>
      </c>
      <c r="B61" s="10" t="s">
        <v>466</v>
      </c>
      <c r="C61" s="10" t="s">
        <v>618</v>
      </c>
      <c r="D61" s="10" t="s">
        <v>619</v>
      </c>
      <c r="E61" s="10" t="s">
        <v>620</v>
      </c>
      <c r="F61" s="10" t="s">
        <v>292</v>
      </c>
      <c r="G61" s="10" t="s">
        <v>483</v>
      </c>
      <c r="H61" s="10" t="s">
        <v>312</v>
      </c>
      <c r="I61" s="10" t="s">
        <v>44</v>
      </c>
      <c r="J61" s="10" t="s">
        <v>621</v>
      </c>
      <c r="K61" s="10" t="s">
        <v>296</v>
      </c>
      <c r="L61" s="10" t="s">
        <v>622</v>
      </c>
      <c r="M61" s="10" t="s">
        <v>623</v>
      </c>
    </row>
    <row r="62" customFormat="false" ht="46.25" hidden="false" customHeight="false" outlineLevel="0" collapsed="false">
      <c r="A62" s="10" t="s">
        <v>65</v>
      </c>
      <c r="B62" s="10" t="s">
        <v>466</v>
      </c>
      <c r="C62" s="10" t="s">
        <v>624</v>
      </c>
      <c r="D62" s="10" t="s">
        <v>625</v>
      </c>
      <c r="E62" s="10" t="s">
        <v>626</v>
      </c>
      <c r="F62" s="10" t="s">
        <v>292</v>
      </c>
      <c r="G62" s="10" t="s">
        <v>483</v>
      </c>
      <c r="H62" s="10" t="s">
        <v>627</v>
      </c>
      <c r="I62" s="10" t="s">
        <v>44</v>
      </c>
      <c r="J62" s="10" t="s">
        <v>628</v>
      </c>
      <c r="K62" s="10" t="s">
        <v>296</v>
      </c>
      <c r="L62" s="10" t="s">
        <v>494</v>
      </c>
      <c r="M62" s="10" t="s">
        <v>629</v>
      </c>
    </row>
    <row r="63" customFormat="false" ht="46.25" hidden="false" customHeight="false" outlineLevel="0" collapsed="false">
      <c r="A63" s="10" t="s">
        <v>65</v>
      </c>
      <c r="B63" s="10" t="s">
        <v>466</v>
      </c>
      <c r="C63" s="10" t="s">
        <v>630</v>
      </c>
      <c r="D63" s="10" t="s">
        <v>631</v>
      </c>
      <c r="E63" s="10" t="s">
        <v>632</v>
      </c>
      <c r="F63" s="10" t="s">
        <v>292</v>
      </c>
      <c r="G63" s="10" t="s">
        <v>483</v>
      </c>
      <c r="H63" s="10" t="s">
        <v>633</v>
      </c>
      <c r="I63" s="10" t="s">
        <v>44</v>
      </c>
      <c r="J63" s="10" t="s">
        <v>634</v>
      </c>
      <c r="K63" s="10" t="s">
        <v>296</v>
      </c>
      <c r="L63" s="10" t="s">
        <v>494</v>
      </c>
      <c r="M63" s="10" t="s">
        <v>635</v>
      </c>
    </row>
    <row r="64" customFormat="false" ht="46.25" hidden="false" customHeight="false" outlineLevel="0" collapsed="false">
      <c r="A64" s="10" t="s">
        <v>65</v>
      </c>
      <c r="B64" s="10" t="s">
        <v>466</v>
      </c>
      <c r="C64" s="10" t="s">
        <v>636</v>
      </c>
      <c r="D64" s="10" t="s">
        <v>637</v>
      </c>
      <c r="E64" s="10" t="s">
        <v>638</v>
      </c>
      <c r="F64" s="10" t="s">
        <v>292</v>
      </c>
      <c r="G64" s="10" t="s">
        <v>483</v>
      </c>
      <c r="H64" s="10" t="s">
        <v>639</v>
      </c>
      <c r="I64" s="10" t="s">
        <v>44</v>
      </c>
      <c r="J64" s="10" t="s">
        <v>640</v>
      </c>
      <c r="K64" s="10" t="s">
        <v>296</v>
      </c>
      <c r="L64" s="10" t="s">
        <v>494</v>
      </c>
      <c r="M64" s="10" t="s">
        <v>641</v>
      </c>
    </row>
    <row r="65" customFormat="false" ht="46.25" hidden="false" customHeight="false" outlineLevel="0" collapsed="false">
      <c r="A65" s="10" t="s">
        <v>65</v>
      </c>
      <c r="B65" s="10" t="s">
        <v>466</v>
      </c>
      <c r="C65" s="10" t="s">
        <v>642</v>
      </c>
      <c r="D65" s="10" t="s">
        <v>302</v>
      </c>
      <c r="E65" s="10" t="s">
        <v>643</v>
      </c>
      <c r="F65" s="10" t="s">
        <v>441</v>
      </c>
      <c r="G65" s="10" t="s">
        <v>551</v>
      </c>
      <c r="H65" s="10" t="s">
        <v>644</v>
      </c>
      <c r="I65" s="10" t="s">
        <v>44</v>
      </c>
      <c r="J65" s="10" t="s">
        <v>645</v>
      </c>
      <c r="K65" s="10" t="s">
        <v>296</v>
      </c>
      <c r="L65" s="10" t="s">
        <v>646</v>
      </c>
      <c r="M65" s="10" t="s">
        <v>647</v>
      </c>
    </row>
    <row r="66" customFormat="false" ht="46.25" hidden="false" customHeight="false" outlineLevel="0" collapsed="false">
      <c r="A66" s="10" t="s">
        <v>65</v>
      </c>
      <c r="B66" s="10" t="s">
        <v>466</v>
      </c>
      <c r="C66" s="10" t="s">
        <v>648</v>
      </c>
      <c r="D66" s="10" t="s">
        <v>302</v>
      </c>
      <c r="E66" s="10" t="s">
        <v>649</v>
      </c>
      <c r="F66" s="10" t="s">
        <v>441</v>
      </c>
      <c r="G66" s="10" t="s">
        <v>551</v>
      </c>
      <c r="H66" s="10" t="s">
        <v>312</v>
      </c>
      <c r="I66" s="10" t="s">
        <v>44</v>
      </c>
      <c r="J66" s="10" t="s">
        <v>650</v>
      </c>
      <c r="K66" s="10" t="s">
        <v>296</v>
      </c>
      <c r="L66" s="10" t="s">
        <v>651</v>
      </c>
      <c r="M66" s="10" t="s">
        <v>652</v>
      </c>
    </row>
    <row r="67" customFormat="false" ht="46.25" hidden="false" customHeight="false" outlineLevel="0" collapsed="false">
      <c r="A67" s="10" t="s">
        <v>65</v>
      </c>
      <c r="B67" s="10" t="s">
        <v>466</v>
      </c>
      <c r="C67" s="10" t="s">
        <v>653</v>
      </c>
      <c r="D67" s="10" t="s">
        <v>302</v>
      </c>
      <c r="E67" s="10" t="s">
        <v>654</v>
      </c>
      <c r="F67" s="10" t="s">
        <v>441</v>
      </c>
      <c r="G67" s="10" t="s">
        <v>551</v>
      </c>
      <c r="H67" s="10" t="s">
        <v>655</v>
      </c>
      <c r="I67" s="10" t="s">
        <v>44</v>
      </c>
      <c r="J67" s="10" t="s">
        <v>656</v>
      </c>
      <c r="K67" s="10" t="s">
        <v>296</v>
      </c>
      <c r="L67" s="10" t="s">
        <v>657</v>
      </c>
      <c r="M67" s="10" t="s">
        <v>658</v>
      </c>
    </row>
    <row r="68" customFormat="false" ht="68.65" hidden="false" customHeight="false" outlineLevel="0" collapsed="false">
      <c r="A68" s="10" t="s">
        <v>659</v>
      </c>
      <c r="B68" s="10" t="s">
        <v>466</v>
      </c>
      <c r="C68" s="10" t="s">
        <v>660</v>
      </c>
      <c r="D68" s="10" t="s">
        <v>302</v>
      </c>
      <c r="E68" s="10" t="s">
        <v>661</v>
      </c>
      <c r="F68" s="10" t="s">
        <v>441</v>
      </c>
      <c r="G68" s="10" t="s">
        <v>662</v>
      </c>
      <c r="H68" s="10" t="s">
        <v>663</v>
      </c>
      <c r="I68" s="10" t="s">
        <v>44</v>
      </c>
      <c r="J68" s="10" t="s">
        <v>664</v>
      </c>
      <c r="K68" s="10" t="s">
        <v>296</v>
      </c>
      <c r="L68" s="10" t="s">
        <v>665</v>
      </c>
      <c r="M68" s="10" t="s">
        <v>666</v>
      </c>
    </row>
    <row r="69" customFormat="false" ht="57.45" hidden="false" customHeight="false" outlineLevel="0" collapsed="false">
      <c r="A69" s="10" t="s">
        <v>76</v>
      </c>
      <c r="B69" s="10" t="s">
        <v>466</v>
      </c>
      <c r="C69" s="10" t="s">
        <v>667</v>
      </c>
      <c r="D69" s="10" t="s">
        <v>668</v>
      </c>
      <c r="E69" s="10" t="s">
        <v>669</v>
      </c>
      <c r="F69" s="10" t="s">
        <v>292</v>
      </c>
      <c r="G69" s="10" t="s">
        <v>483</v>
      </c>
      <c r="H69" s="10" t="s">
        <v>670</v>
      </c>
      <c r="I69" s="10" t="s">
        <v>44</v>
      </c>
      <c r="J69" s="10" t="s">
        <v>671</v>
      </c>
      <c r="K69" s="10" t="s">
        <v>296</v>
      </c>
      <c r="L69" s="10" t="s">
        <v>672</v>
      </c>
      <c r="M69" s="10" t="s">
        <v>673</v>
      </c>
    </row>
    <row r="70" customFormat="false" ht="57.45" hidden="false" customHeight="false" outlineLevel="0" collapsed="false">
      <c r="A70" s="10" t="s">
        <v>76</v>
      </c>
      <c r="B70" s="10" t="s">
        <v>466</v>
      </c>
      <c r="C70" s="10" t="s">
        <v>674</v>
      </c>
      <c r="D70" s="10" t="s">
        <v>675</v>
      </c>
      <c r="E70" s="10" t="s">
        <v>676</v>
      </c>
      <c r="F70" s="10" t="s">
        <v>441</v>
      </c>
      <c r="G70" s="10" t="s">
        <v>551</v>
      </c>
      <c r="H70" s="10" t="s">
        <v>677</v>
      </c>
      <c r="I70" s="10" t="s">
        <v>44</v>
      </c>
      <c r="J70" s="10" t="s">
        <v>678</v>
      </c>
      <c r="K70" s="10" t="s">
        <v>296</v>
      </c>
      <c r="L70" s="10" t="s">
        <v>679</v>
      </c>
      <c r="M70" s="10" t="s">
        <v>680</v>
      </c>
    </row>
    <row r="71" customFormat="false" ht="46.25" hidden="false" customHeight="false" outlineLevel="0" collapsed="false">
      <c r="A71" s="10" t="s">
        <v>65</v>
      </c>
      <c r="B71" s="10" t="s">
        <v>466</v>
      </c>
      <c r="C71" s="10" t="s">
        <v>681</v>
      </c>
      <c r="D71" s="10" t="s">
        <v>682</v>
      </c>
      <c r="E71" s="10" t="s">
        <v>683</v>
      </c>
      <c r="F71" s="10" t="s">
        <v>292</v>
      </c>
      <c r="G71" s="10" t="s">
        <v>684</v>
      </c>
      <c r="H71" s="10" t="s">
        <v>685</v>
      </c>
      <c r="I71" s="10" t="s">
        <v>44</v>
      </c>
      <c r="J71" s="10" t="s">
        <v>686</v>
      </c>
      <c r="K71" s="10" t="s">
        <v>296</v>
      </c>
      <c r="L71" s="10" t="s">
        <v>687</v>
      </c>
      <c r="M71" s="10" t="s">
        <v>688</v>
      </c>
    </row>
    <row r="72" customFormat="false" ht="46.25" hidden="false" customHeight="false" outlineLevel="0" collapsed="false">
      <c r="A72" s="10" t="s">
        <v>65</v>
      </c>
      <c r="B72" s="10" t="s">
        <v>466</v>
      </c>
      <c r="C72" s="10" t="s">
        <v>689</v>
      </c>
      <c r="D72" s="10" t="s">
        <v>690</v>
      </c>
      <c r="E72" s="10" t="s">
        <v>691</v>
      </c>
      <c r="F72" s="10" t="s">
        <v>292</v>
      </c>
      <c r="G72" s="10" t="s">
        <v>684</v>
      </c>
      <c r="H72" s="10" t="s">
        <v>692</v>
      </c>
      <c r="I72" s="10" t="s">
        <v>44</v>
      </c>
      <c r="J72" s="10" t="s">
        <v>693</v>
      </c>
      <c r="K72" s="10" t="s">
        <v>296</v>
      </c>
      <c r="L72" s="10" t="s">
        <v>687</v>
      </c>
      <c r="M72" s="10" t="s">
        <v>694</v>
      </c>
    </row>
    <row r="73" customFormat="false" ht="46.25" hidden="false" customHeight="false" outlineLevel="0" collapsed="false">
      <c r="A73" s="10" t="s">
        <v>65</v>
      </c>
      <c r="B73" s="10" t="s">
        <v>466</v>
      </c>
      <c r="C73" s="10" t="s">
        <v>695</v>
      </c>
      <c r="D73" s="10" t="s">
        <v>696</v>
      </c>
      <c r="E73" s="10" t="s">
        <v>697</v>
      </c>
      <c r="F73" s="10" t="s">
        <v>292</v>
      </c>
      <c r="G73" s="10" t="s">
        <v>684</v>
      </c>
      <c r="H73" s="10" t="s">
        <v>698</v>
      </c>
      <c r="I73" s="10" t="s">
        <v>44</v>
      </c>
      <c r="J73" s="10" t="s">
        <v>699</v>
      </c>
      <c r="K73" s="10" t="s">
        <v>296</v>
      </c>
      <c r="L73" s="10" t="s">
        <v>687</v>
      </c>
      <c r="M73" s="10" t="s">
        <v>700</v>
      </c>
    </row>
    <row r="74" customFormat="false" ht="46.25" hidden="false" customHeight="false" outlineLevel="0" collapsed="false">
      <c r="A74" s="10" t="s">
        <v>65</v>
      </c>
      <c r="B74" s="10" t="s">
        <v>466</v>
      </c>
      <c r="C74" s="10" t="s">
        <v>701</v>
      </c>
      <c r="D74" s="10" t="s">
        <v>702</v>
      </c>
      <c r="E74" s="10" t="s">
        <v>703</v>
      </c>
      <c r="F74" s="10" t="s">
        <v>441</v>
      </c>
      <c r="G74" s="10" t="s">
        <v>551</v>
      </c>
      <c r="H74" s="10" t="s">
        <v>704</v>
      </c>
      <c r="I74" s="10" t="s">
        <v>44</v>
      </c>
      <c r="J74" s="10" t="s">
        <v>705</v>
      </c>
      <c r="K74" s="10" t="s">
        <v>296</v>
      </c>
      <c r="L74" s="10" t="s">
        <v>687</v>
      </c>
      <c r="M74" s="10" t="s">
        <v>706</v>
      </c>
    </row>
    <row r="75" customFormat="false" ht="46.25" hidden="false" customHeight="false" outlineLevel="0" collapsed="false">
      <c r="A75" s="10" t="s">
        <v>65</v>
      </c>
      <c r="B75" s="10" t="s">
        <v>466</v>
      </c>
      <c r="C75" s="10" t="s">
        <v>707</v>
      </c>
      <c r="D75" s="10" t="s">
        <v>708</v>
      </c>
      <c r="E75" s="10" t="s">
        <v>709</v>
      </c>
      <c r="F75" s="10" t="s">
        <v>292</v>
      </c>
      <c r="G75" s="10" t="s">
        <v>483</v>
      </c>
      <c r="H75" s="10" t="s">
        <v>710</v>
      </c>
      <c r="I75" s="10" t="s">
        <v>44</v>
      </c>
      <c r="J75" s="10" t="s">
        <v>711</v>
      </c>
      <c r="K75" s="10" t="s">
        <v>296</v>
      </c>
      <c r="L75" s="10" t="s">
        <v>687</v>
      </c>
      <c r="M75" s="10" t="s">
        <v>712</v>
      </c>
    </row>
    <row r="76" customFormat="false" ht="46.25" hidden="false" customHeight="false" outlineLevel="0" collapsed="false">
      <c r="A76" s="10" t="s">
        <v>65</v>
      </c>
      <c r="B76" s="10" t="s">
        <v>466</v>
      </c>
      <c r="C76" s="10" t="s">
        <v>713</v>
      </c>
      <c r="D76" s="10" t="s">
        <v>714</v>
      </c>
      <c r="E76" s="10" t="s">
        <v>715</v>
      </c>
      <c r="F76" s="10" t="s">
        <v>292</v>
      </c>
      <c r="G76" s="10" t="s">
        <v>483</v>
      </c>
      <c r="H76" s="10" t="s">
        <v>716</v>
      </c>
      <c r="I76" s="10" t="s">
        <v>44</v>
      </c>
      <c r="J76" s="10" t="s">
        <v>717</v>
      </c>
      <c r="K76" s="10" t="s">
        <v>296</v>
      </c>
      <c r="L76" s="10" t="s">
        <v>687</v>
      </c>
      <c r="M76" s="10" t="s">
        <v>718</v>
      </c>
    </row>
    <row r="77" customFormat="false" ht="46.25" hidden="false" customHeight="false" outlineLevel="0" collapsed="false">
      <c r="A77" s="10" t="s">
        <v>65</v>
      </c>
      <c r="B77" s="10" t="s">
        <v>466</v>
      </c>
      <c r="C77" s="10" t="s">
        <v>719</v>
      </c>
      <c r="D77" s="10" t="s">
        <v>302</v>
      </c>
      <c r="E77" s="10" t="s">
        <v>720</v>
      </c>
      <c r="F77" s="10" t="s">
        <v>441</v>
      </c>
      <c r="G77" s="10" t="s">
        <v>551</v>
      </c>
      <c r="H77" s="10" t="s">
        <v>721</v>
      </c>
      <c r="I77" s="10" t="s">
        <v>44</v>
      </c>
      <c r="J77" s="10" t="s">
        <v>722</v>
      </c>
      <c r="K77" s="10" t="s">
        <v>296</v>
      </c>
      <c r="L77" s="10" t="s">
        <v>723</v>
      </c>
      <c r="M77" s="10" t="s">
        <v>724</v>
      </c>
    </row>
    <row r="78" customFormat="false" ht="57.45" hidden="false" customHeight="false" outlineLevel="0" collapsed="false">
      <c r="A78" s="10" t="s">
        <v>76</v>
      </c>
      <c r="B78" s="10" t="s">
        <v>466</v>
      </c>
      <c r="C78" s="10" t="s">
        <v>725</v>
      </c>
      <c r="D78" s="10" t="s">
        <v>726</v>
      </c>
      <c r="E78" s="10" t="s">
        <v>727</v>
      </c>
      <c r="F78" s="10" t="s">
        <v>292</v>
      </c>
      <c r="G78" s="10" t="s">
        <v>684</v>
      </c>
      <c r="H78" s="10" t="s">
        <v>728</v>
      </c>
      <c r="I78" s="10" t="s">
        <v>44</v>
      </c>
      <c r="J78" s="10" t="s">
        <v>729</v>
      </c>
      <c r="K78" s="10" t="s">
        <v>296</v>
      </c>
      <c r="L78" s="10" t="s">
        <v>730</v>
      </c>
      <c r="M78" s="10" t="s">
        <v>731</v>
      </c>
    </row>
    <row r="79" customFormat="false" ht="57.45" hidden="false" customHeight="false" outlineLevel="0" collapsed="false">
      <c r="A79" s="10" t="s">
        <v>76</v>
      </c>
      <c r="B79" s="10" t="s">
        <v>466</v>
      </c>
      <c r="C79" s="10" t="s">
        <v>732</v>
      </c>
      <c r="D79" s="10" t="s">
        <v>733</v>
      </c>
      <c r="E79" s="10" t="s">
        <v>734</v>
      </c>
      <c r="F79" s="10" t="s">
        <v>441</v>
      </c>
      <c r="G79" s="10" t="s">
        <v>551</v>
      </c>
      <c r="H79" s="10" t="s">
        <v>735</v>
      </c>
      <c r="I79" s="10" t="s">
        <v>44</v>
      </c>
      <c r="J79" s="10" t="s">
        <v>736</v>
      </c>
      <c r="K79" s="10" t="s">
        <v>296</v>
      </c>
      <c r="L79" s="10" t="s">
        <v>730</v>
      </c>
      <c r="M79" s="10" t="s">
        <v>737</v>
      </c>
    </row>
    <row r="80" customFormat="false" ht="68.65" hidden="false" customHeight="false" outlineLevel="0" collapsed="false">
      <c r="A80" s="10" t="s">
        <v>76</v>
      </c>
      <c r="B80" s="10" t="s">
        <v>466</v>
      </c>
      <c r="C80" s="10" t="s">
        <v>738</v>
      </c>
      <c r="D80" s="10" t="s">
        <v>739</v>
      </c>
      <c r="E80" s="10" t="s">
        <v>740</v>
      </c>
      <c r="F80" s="10" t="s">
        <v>441</v>
      </c>
      <c r="G80" s="10" t="s">
        <v>551</v>
      </c>
      <c r="H80" s="10" t="s">
        <v>741</v>
      </c>
      <c r="I80" s="10" t="s">
        <v>44</v>
      </c>
      <c r="J80" s="10" t="s">
        <v>742</v>
      </c>
      <c r="K80" s="10" t="s">
        <v>296</v>
      </c>
      <c r="L80" s="10" t="s">
        <v>743</v>
      </c>
      <c r="M80" s="10" t="s">
        <v>744</v>
      </c>
    </row>
    <row r="81" customFormat="false" ht="57.45" hidden="false" customHeight="false" outlineLevel="0" collapsed="false">
      <c r="A81" s="10" t="s">
        <v>76</v>
      </c>
      <c r="B81" s="10" t="s">
        <v>466</v>
      </c>
      <c r="C81" s="10" t="s">
        <v>745</v>
      </c>
      <c r="D81" s="10" t="s">
        <v>302</v>
      </c>
      <c r="E81" s="10" t="s">
        <v>746</v>
      </c>
      <c r="F81" s="10" t="s">
        <v>441</v>
      </c>
      <c r="G81" s="10" t="s">
        <v>747</v>
      </c>
      <c r="H81" s="10" t="s">
        <v>748</v>
      </c>
      <c r="I81" s="10" t="s">
        <v>44</v>
      </c>
      <c r="J81" s="10" t="s">
        <v>749</v>
      </c>
      <c r="K81" s="10" t="s">
        <v>296</v>
      </c>
      <c r="L81" s="10" t="s">
        <v>750</v>
      </c>
      <c r="M81" s="10" t="s">
        <v>751</v>
      </c>
    </row>
    <row r="82" customFormat="false" ht="68.65" hidden="false" customHeight="false" outlineLevel="0" collapsed="false">
      <c r="A82" s="10" t="s">
        <v>95</v>
      </c>
      <c r="B82" s="10" t="s">
        <v>466</v>
      </c>
      <c r="C82" s="10" t="s">
        <v>447</v>
      </c>
      <c r="D82" s="10" t="s">
        <v>302</v>
      </c>
      <c r="E82" s="10" t="s">
        <v>448</v>
      </c>
      <c r="F82" s="10" t="s">
        <v>292</v>
      </c>
      <c r="G82" s="10" t="s">
        <v>322</v>
      </c>
      <c r="H82" s="10" t="s">
        <v>752</v>
      </c>
      <c r="I82" s="10" t="s">
        <v>44</v>
      </c>
      <c r="J82" s="10" t="s">
        <v>753</v>
      </c>
      <c r="K82" s="10" t="s">
        <v>296</v>
      </c>
      <c r="L82" s="10" t="s">
        <v>754</v>
      </c>
      <c r="M82" s="10" t="s">
        <v>452</v>
      </c>
    </row>
    <row r="83" customFormat="false" ht="68.65" hidden="false" customHeight="false" outlineLevel="0" collapsed="false">
      <c r="A83" s="10" t="s">
        <v>95</v>
      </c>
      <c r="B83" s="10" t="s">
        <v>466</v>
      </c>
      <c r="C83" s="10" t="s">
        <v>755</v>
      </c>
      <c r="D83" s="10" t="s">
        <v>302</v>
      </c>
      <c r="E83" s="10" t="s">
        <v>756</v>
      </c>
      <c r="F83" s="10" t="s">
        <v>292</v>
      </c>
      <c r="G83" s="10" t="s">
        <v>322</v>
      </c>
      <c r="H83" s="10" t="s">
        <v>757</v>
      </c>
      <c r="I83" s="10" t="s">
        <v>44</v>
      </c>
      <c r="J83" s="10" t="s">
        <v>758</v>
      </c>
      <c r="K83" s="10" t="s">
        <v>296</v>
      </c>
      <c r="L83" s="10" t="s">
        <v>759</v>
      </c>
      <c r="M83" s="10" t="s">
        <v>760</v>
      </c>
    </row>
    <row r="84" customFormat="false" ht="57.45" hidden="false" customHeight="false" outlineLevel="0" collapsed="false">
      <c r="A84" s="10" t="s">
        <v>95</v>
      </c>
      <c r="B84" s="10" t="s">
        <v>466</v>
      </c>
      <c r="C84" s="10" t="s">
        <v>761</v>
      </c>
      <c r="D84" s="10" t="s">
        <v>302</v>
      </c>
      <c r="E84" s="10" t="s">
        <v>762</v>
      </c>
      <c r="F84" s="10" t="s">
        <v>292</v>
      </c>
      <c r="G84" s="10" t="s">
        <v>322</v>
      </c>
      <c r="H84" s="10" t="s">
        <v>763</v>
      </c>
      <c r="I84" s="10" t="s">
        <v>44</v>
      </c>
      <c r="J84" s="10" t="s">
        <v>764</v>
      </c>
      <c r="K84" s="10" t="s">
        <v>296</v>
      </c>
      <c r="L84" s="10" t="s">
        <v>765</v>
      </c>
      <c r="M84" s="10" t="s">
        <v>766</v>
      </c>
    </row>
    <row r="85" customFormat="false" ht="57.45" hidden="false" customHeight="false" outlineLevel="0" collapsed="false">
      <c r="A85" s="10" t="s">
        <v>95</v>
      </c>
      <c r="B85" s="10" t="s">
        <v>466</v>
      </c>
      <c r="C85" s="10" t="s">
        <v>767</v>
      </c>
      <c r="D85" s="10" t="s">
        <v>302</v>
      </c>
      <c r="E85" s="10" t="s">
        <v>768</v>
      </c>
      <c r="F85" s="10" t="s">
        <v>292</v>
      </c>
      <c r="G85" s="10" t="s">
        <v>311</v>
      </c>
      <c r="H85" s="10" t="s">
        <v>769</v>
      </c>
      <c r="I85" s="10" t="s">
        <v>44</v>
      </c>
      <c r="J85" s="10" t="s">
        <v>770</v>
      </c>
      <c r="K85" s="10" t="s">
        <v>296</v>
      </c>
      <c r="L85" s="10" t="s">
        <v>771</v>
      </c>
      <c r="M85" s="10" t="s">
        <v>772</v>
      </c>
    </row>
    <row r="86" customFormat="false" ht="57.45" hidden="false" customHeight="false" outlineLevel="0" collapsed="false">
      <c r="A86" s="10" t="s">
        <v>95</v>
      </c>
      <c r="B86" s="10" t="s">
        <v>466</v>
      </c>
      <c r="C86" s="10" t="s">
        <v>773</v>
      </c>
      <c r="D86" s="10" t="s">
        <v>302</v>
      </c>
      <c r="E86" s="10" t="s">
        <v>774</v>
      </c>
      <c r="F86" s="10" t="s">
        <v>292</v>
      </c>
      <c r="G86" s="10" t="s">
        <v>322</v>
      </c>
      <c r="H86" s="10" t="s">
        <v>312</v>
      </c>
      <c r="I86" s="10" t="s">
        <v>44</v>
      </c>
      <c r="J86" s="10" t="s">
        <v>775</v>
      </c>
      <c r="K86" s="10" t="s">
        <v>296</v>
      </c>
      <c r="L86" s="10" t="s">
        <v>776</v>
      </c>
      <c r="M86" s="10" t="s">
        <v>777</v>
      </c>
    </row>
    <row r="87" customFormat="false" ht="57.45" hidden="false" customHeight="false" outlineLevel="0" collapsed="false">
      <c r="A87" s="10" t="s">
        <v>95</v>
      </c>
      <c r="B87" s="10" t="s">
        <v>466</v>
      </c>
      <c r="C87" s="10" t="s">
        <v>778</v>
      </c>
      <c r="D87" s="10" t="s">
        <v>302</v>
      </c>
      <c r="E87" s="10" t="s">
        <v>779</v>
      </c>
      <c r="F87" s="10" t="s">
        <v>292</v>
      </c>
      <c r="G87" s="10" t="s">
        <v>780</v>
      </c>
      <c r="H87" s="10" t="s">
        <v>781</v>
      </c>
      <c r="I87" s="10" t="s">
        <v>44</v>
      </c>
      <c r="J87" s="10" t="s">
        <v>782</v>
      </c>
      <c r="K87" s="10" t="s">
        <v>296</v>
      </c>
      <c r="L87" s="10" t="s">
        <v>783</v>
      </c>
      <c r="M87" s="10" t="s">
        <v>784</v>
      </c>
    </row>
    <row r="88" customFormat="false" ht="68.65" hidden="false" customHeight="false" outlineLevel="0" collapsed="false">
      <c r="A88" s="10" t="s">
        <v>104</v>
      </c>
      <c r="B88" s="10" t="s">
        <v>466</v>
      </c>
      <c r="C88" s="10" t="s">
        <v>785</v>
      </c>
      <c r="D88" s="10" t="s">
        <v>302</v>
      </c>
      <c r="E88" s="10" t="s">
        <v>786</v>
      </c>
      <c r="F88" s="10" t="s">
        <v>292</v>
      </c>
      <c r="G88" s="10" t="s">
        <v>318</v>
      </c>
      <c r="H88" s="10" t="s">
        <v>312</v>
      </c>
      <c r="I88" s="10" t="s">
        <v>44</v>
      </c>
      <c r="J88" s="10" t="s">
        <v>313</v>
      </c>
      <c r="K88" s="10" t="s">
        <v>296</v>
      </c>
      <c r="L88" s="10" t="s">
        <v>787</v>
      </c>
      <c r="M88" s="10" t="s">
        <v>788</v>
      </c>
    </row>
    <row r="89" customFormat="false" ht="57.45" hidden="false" customHeight="false" outlineLevel="0" collapsed="false">
      <c r="A89" s="10" t="s">
        <v>95</v>
      </c>
      <c r="B89" s="10" t="s">
        <v>466</v>
      </c>
      <c r="C89" s="10" t="s">
        <v>789</v>
      </c>
      <c r="D89" s="10" t="s">
        <v>302</v>
      </c>
      <c r="E89" s="10" t="s">
        <v>790</v>
      </c>
      <c r="F89" s="10" t="s">
        <v>292</v>
      </c>
      <c r="G89" s="10" t="s">
        <v>791</v>
      </c>
      <c r="H89" s="10" t="s">
        <v>792</v>
      </c>
      <c r="I89" s="10" t="s">
        <v>44</v>
      </c>
      <c r="J89" s="10" t="s">
        <v>793</v>
      </c>
      <c r="K89" s="10" t="s">
        <v>296</v>
      </c>
      <c r="L89" s="10" t="s">
        <v>794</v>
      </c>
      <c r="M89" s="10" t="s">
        <v>795</v>
      </c>
    </row>
    <row r="90" customFormat="false" ht="68.65" hidden="false" customHeight="false" outlineLevel="0" collapsed="false">
      <c r="A90" s="10" t="s">
        <v>796</v>
      </c>
      <c r="B90" s="10" t="s">
        <v>466</v>
      </c>
      <c r="C90" s="10" t="s">
        <v>797</v>
      </c>
      <c r="D90" s="10" t="s">
        <v>302</v>
      </c>
      <c r="E90" s="10" t="s">
        <v>798</v>
      </c>
      <c r="F90" s="10" t="s">
        <v>441</v>
      </c>
      <c r="G90" s="10" t="s">
        <v>455</v>
      </c>
      <c r="H90" s="10" t="s">
        <v>799</v>
      </c>
      <c r="I90" s="10" t="s">
        <v>44</v>
      </c>
      <c r="J90" s="10" t="s">
        <v>800</v>
      </c>
      <c r="K90" s="10" t="s">
        <v>296</v>
      </c>
      <c r="L90" s="10" t="s">
        <v>801</v>
      </c>
      <c r="M90" s="10" t="s">
        <v>802</v>
      </c>
    </row>
    <row r="91" customFormat="false" ht="68.65" hidden="false" customHeight="false" outlineLevel="0" collapsed="false">
      <c r="A91" s="10" t="s">
        <v>803</v>
      </c>
      <c r="B91" s="10" t="s">
        <v>466</v>
      </c>
      <c r="C91" s="10" t="s">
        <v>804</v>
      </c>
      <c r="D91" s="10" t="s">
        <v>302</v>
      </c>
      <c r="E91" s="10" t="s">
        <v>805</v>
      </c>
      <c r="F91" s="10" t="s">
        <v>441</v>
      </c>
      <c r="G91" s="10" t="s">
        <v>806</v>
      </c>
      <c r="H91" s="10" t="s">
        <v>807</v>
      </c>
      <c r="I91" s="10" t="s">
        <v>44</v>
      </c>
      <c r="J91" s="10" t="s">
        <v>808</v>
      </c>
      <c r="K91" s="10" t="s">
        <v>296</v>
      </c>
      <c r="L91" s="10" t="s">
        <v>809</v>
      </c>
      <c r="M91" s="10" t="s">
        <v>810</v>
      </c>
    </row>
    <row r="92" customFormat="false" ht="68.65" hidden="false" customHeight="false" outlineLevel="0" collapsed="false">
      <c r="A92" s="10" t="s">
        <v>811</v>
      </c>
      <c r="B92" s="10" t="s">
        <v>466</v>
      </c>
      <c r="C92" s="10" t="s">
        <v>812</v>
      </c>
      <c r="D92" s="10" t="s">
        <v>302</v>
      </c>
      <c r="E92" s="10" t="s">
        <v>813</v>
      </c>
      <c r="F92" s="10" t="s">
        <v>292</v>
      </c>
      <c r="G92" s="10" t="s">
        <v>814</v>
      </c>
      <c r="H92" s="10" t="s">
        <v>815</v>
      </c>
      <c r="I92" s="10" t="s">
        <v>336</v>
      </c>
      <c r="J92" s="10" t="s">
        <v>816</v>
      </c>
      <c r="K92" s="10" t="s">
        <v>296</v>
      </c>
      <c r="L92" s="10" t="s">
        <v>817</v>
      </c>
      <c r="M92" s="10" t="s">
        <v>818</v>
      </c>
    </row>
    <row r="93" customFormat="false" ht="68.65" hidden="false" customHeight="false" outlineLevel="0" collapsed="false">
      <c r="A93" s="10" t="s">
        <v>819</v>
      </c>
      <c r="B93" s="10" t="s">
        <v>466</v>
      </c>
      <c r="C93" s="10" t="s">
        <v>820</v>
      </c>
      <c r="D93" s="10" t="s">
        <v>302</v>
      </c>
      <c r="E93" s="10" t="s">
        <v>821</v>
      </c>
      <c r="F93" s="10" t="s">
        <v>441</v>
      </c>
      <c r="G93" s="10" t="s">
        <v>822</v>
      </c>
      <c r="H93" s="10" t="s">
        <v>823</v>
      </c>
      <c r="I93" s="10" t="s">
        <v>44</v>
      </c>
      <c r="J93" s="10" t="s">
        <v>824</v>
      </c>
      <c r="K93" s="10" t="s">
        <v>296</v>
      </c>
      <c r="L93" s="10" t="s">
        <v>825</v>
      </c>
      <c r="M93" s="10" t="s">
        <v>826</v>
      </c>
    </row>
    <row r="94" customFormat="false" ht="46.25" hidden="false" customHeight="false" outlineLevel="0" collapsed="false">
      <c r="A94" s="10" t="s">
        <v>827</v>
      </c>
      <c r="B94" s="10" t="s">
        <v>466</v>
      </c>
      <c r="C94" s="10" t="s">
        <v>828</v>
      </c>
      <c r="D94" s="10" t="s">
        <v>302</v>
      </c>
      <c r="E94" s="10" t="s">
        <v>829</v>
      </c>
      <c r="F94" s="10" t="s">
        <v>292</v>
      </c>
      <c r="G94" s="10" t="s">
        <v>311</v>
      </c>
      <c r="H94" s="10" t="s">
        <v>830</v>
      </c>
      <c r="I94" s="10" t="s">
        <v>44</v>
      </c>
      <c r="J94" s="10" t="s">
        <v>831</v>
      </c>
      <c r="K94" s="10" t="s">
        <v>296</v>
      </c>
      <c r="L94" s="10" t="s">
        <v>832</v>
      </c>
      <c r="M94" s="10" t="s">
        <v>833</v>
      </c>
    </row>
    <row r="95" customFormat="false" ht="46.25" hidden="false" customHeight="false" outlineLevel="0" collapsed="false">
      <c r="A95" s="10" t="s">
        <v>827</v>
      </c>
      <c r="B95" s="10" t="s">
        <v>466</v>
      </c>
      <c r="C95" s="10" t="s">
        <v>834</v>
      </c>
      <c r="D95" s="10" t="s">
        <v>302</v>
      </c>
      <c r="E95" s="10" t="s">
        <v>835</v>
      </c>
      <c r="F95" s="10" t="s">
        <v>292</v>
      </c>
      <c r="G95" s="10" t="s">
        <v>311</v>
      </c>
      <c r="H95" s="10" t="s">
        <v>836</v>
      </c>
      <c r="I95" s="10" t="s">
        <v>44</v>
      </c>
      <c r="J95" s="10" t="s">
        <v>313</v>
      </c>
      <c r="K95" s="10" t="s">
        <v>296</v>
      </c>
      <c r="L95" s="10" t="s">
        <v>837</v>
      </c>
      <c r="M95" s="10" t="s">
        <v>838</v>
      </c>
    </row>
    <row r="96" customFormat="false" ht="68.65" hidden="false" customHeight="false" outlineLevel="0" collapsed="false">
      <c r="A96" s="10" t="s">
        <v>827</v>
      </c>
      <c r="B96" s="10" t="s">
        <v>466</v>
      </c>
      <c r="C96" s="10" t="s">
        <v>839</v>
      </c>
      <c r="D96" s="10" t="s">
        <v>840</v>
      </c>
      <c r="E96" s="10" t="s">
        <v>841</v>
      </c>
      <c r="F96" s="10" t="s">
        <v>292</v>
      </c>
      <c r="G96" s="10" t="s">
        <v>842</v>
      </c>
      <c r="H96" s="10" t="s">
        <v>836</v>
      </c>
      <c r="I96" s="10" t="s">
        <v>336</v>
      </c>
      <c r="J96" s="10" t="s">
        <v>843</v>
      </c>
      <c r="K96" s="10" t="s">
        <v>296</v>
      </c>
      <c r="L96" s="10" t="s">
        <v>844</v>
      </c>
      <c r="M96" s="10" t="s">
        <v>845</v>
      </c>
    </row>
    <row r="97" customFormat="false" ht="57.45" hidden="false" customHeight="false" outlineLevel="0" collapsed="false">
      <c r="A97" s="10" t="s">
        <v>846</v>
      </c>
      <c r="B97" s="10" t="s">
        <v>466</v>
      </c>
      <c r="C97" s="10" t="s">
        <v>847</v>
      </c>
      <c r="D97" s="10" t="s">
        <v>302</v>
      </c>
      <c r="E97" s="10" t="s">
        <v>848</v>
      </c>
      <c r="F97" s="10" t="s">
        <v>292</v>
      </c>
      <c r="G97" s="10" t="s">
        <v>849</v>
      </c>
      <c r="H97" s="10" t="s">
        <v>323</v>
      </c>
      <c r="I97" s="10" t="s">
        <v>44</v>
      </c>
      <c r="J97" s="10" t="s">
        <v>850</v>
      </c>
      <c r="K97" s="10" t="s">
        <v>296</v>
      </c>
      <c r="L97" s="10" t="s">
        <v>851</v>
      </c>
      <c r="M97" s="10" t="s">
        <v>852</v>
      </c>
    </row>
    <row r="98" customFormat="false" ht="57.45" hidden="false" customHeight="false" outlineLevel="0" collapsed="false">
      <c r="A98" s="10" t="s">
        <v>84</v>
      </c>
      <c r="B98" s="10" t="s">
        <v>466</v>
      </c>
      <c r="C98" s="10" t="s">
        <v>853</v>
      </c>
      <c r="D98" s="10" t="s">
        <v>854</v>
      </c>
      <c r="E98" s="10" t="s">
        <v>855</v>
      </c>
      <c r="F98" s="10" t="s">
        <v>441</v>
      </c>
      <c r="G98" s="10" t="s">
        <v>442</v>
      </c>
      <c r="H98" s="10" t="s">
        <v>856</v>
      </c>
      <c r="I98" s="10" t="s">
        <v>44</v>
      </c>
      <c r="J98" s="10" t="s">
        <v>857</v>
      </c>
      <c r="K98" s="10" t="s">
        <v>296</v>
      </c>
      <c r="L98" s="10" t="s">
        <v>858</v>
      </c>
      <c r="M98" s="10" t="s">
        <v>859</v>
      </c>
    </row>
    <row r="99" customFormat="false" ht="68.65" hidden="false" customHeight="false" outlineLevel="0" collapsed="false">
      <c r="A99" s="10" t="s">
        <v>36</v>
      </c>
      <c r="B99" s="10" t="s">
        <v>466</v>
      </c>
      <c r="C99" s="10" t="s">
        <v>860</v>
      </c>
      <c r="D99" s="10" t="s">
        <v>302</v>
      </c>
      <c r="E99" s="10" t="s">
        <v>861</v>
      </c>
      <c r="F99" s="10" t="s">
        <v>343</v>
      </c>
      <c r="G99" s="10" t="s">
        <v>344</v>
      </c>
      <c r="H99" s="10" t="s">
        <v>862</v>
      </c>
      <c r="I99" s="10" t="s">
        <v>44</v>
      </c>
      <c r="J99" s="10" t="s">
        <v>863</v>
      </c>
      <c r="K99" s="10" t="s">
        <v>296</v>
      </c>
      <c r="L99" s="10" t="s">
        <v>864</v>
      </c>
      <c r="M99" s="10" t="s">
        <v>865</v>
      </c>
    </row>
    <row r="100" customFormat="false" ht="68.65" hidden="false" customHeight="false" outlineLevel="0" collapsed="false">
      <c r="A100" s="10" t="s">
        <v>36</v>
      </c>
      <c r="B100" s="10" t="s">
        <v>466</v>
      </c>
      <c r="C100" s="10" t="s">
        <v>866</v>
      </c>
      <c r="D100" s="10" t="s">
        <v>302</v>
      </c>
      <c r="E100" s="10" t="s">
        <v>867</v>
      </c>
      <c r="F100" s="10" t="s">
        <v>343</v>
      </c>
      <c r="G100" s="10" t="s">
        <v>344</v>
      </c>
      <c r="H100" s="10" t="s">
        <v>868</v>
      </c>
      <c r="I100" s="10" t="s">
        <v>44</v>
      </c>
      <c r="J100" s="10" t="s">
        <v>353</v>
      </c>
      <c r="K100" s="10" t="s">
        <v>296</v>
      </c>
      <c r="L100" s="10" t="s">
        <v>864</v>
      </c>
      <c r="M100" s="10" t="s">
        <v>865</v>
      </c>
    </row>
    <row r="101" customFormat="false" ht="46.25" hidden="false" customHeight="false" outlineLevel="0" collapsed="false">
      <c r="A101" s="10" t="s">
        <v>36</v>
      </c>
      <c r="B101" s="10" t="s">
        <v>466</v>
      </c>
      <c r="C101" s="10" t="s">
        <v>869</v>
      </c>
      <c r="D101" s="10" t="s">
        <v>302</v>
      </c>
      <c r="E101" s="10" t="s">
        <v>870</v>
      </c>
      <c r="F101" s="10" t="s">
        <v>292</v>
      </c>
      <c r="G101" s="10" t="s">
        <v>871</v>
      </c>
      <c r="H101" s="10" t="s">
        <v>872</v>
      </c>
      <c r="I101" s="10" t="s">
        <v>44</v>
      </c>
      <c r="J101" s="10" t="s">
        <v>873</v>
      </c>
      <c r="K101" s="10" t="s">
        <v>296</v>
      </c>
      <c r="L101" s="10" t="s">
        <v>874</v>
      </c>
      <c r="M101" s="10" t="s">
        <v>875</v>
      </c>
    </row>
    <row r="102" customFormat="false" ht="35.05" hidden="false" customHeight="false" outlineLevel="0" collapsed="false">
      <c r="A102" s="10" t="s">
        <v>408</v>
      </c>
      <c r="B102" s="10" t="s">
        <v>466</v>
      </c>
      <c r="C102" s="10" t="s">
        <v>876</v>
      </c>
      <c r="D102" s="10" t="s">
        <v>302</v>
      </c>
      <c r="E102" s="10" t="s">
        <v>877</v>
      </c>
      <c r="F102" s="10" t="s">
        <v>292</v>
      </c>
      <c r="G102" s="10" t="s">
        <v>213</v>
      </c>
      <c r="H102" s="10" t="s">
        <v>836</v>
      </c>
      <c r="I102" s="10" t="s">
        <v>44</v>
      </c>
      <c r="J102" s="10" t="s">
        <v>878</v>
      </c>
      <c r="K102" s="10" t="s">
        <v>296</v>
      </c>
      <c r="L102" s="10" t="s">
        <v>879</v>
      </c>
      <c r="M102" s="10" t="s">
        <v>880</v>
      </c>
    </row>
    <row r="103" customFormat="false" ht="79.85" hidden="false" customHeight="false" outlineLevel="0" collapsed="false">
      <c r="A103" s="10" t="s">
        <v>408</v>
      </c>
      <c r="B103" s="10" t="s">
        <v>466</v>
      </c>
      <c r="C103" s="10" t="s">
        <v>881</v>
      </c>
      <c r="D103" s="10" t="s">
        <v>302</v>
      </c>
      <c r="E103" s="10" t="s">
        <v>882</v>
      </c>
      <c r="F103" s="10" t="s">
        <v>356</v>
      </c>
      <c r="G103" s="10" t="s">
        <v>213</v>
      </c>
      <c r="H103" s="10" t="s">
        <v>883</v>
      </c>
      <c r="I103" s="10" t="s">
        <v>44</v>
      </c>
      <c r="J103" s="10" t="s">
        <v>884</v>
      </c>
      <c r="K103" s="10" t="s">
        <v>296</v>
      </c>
      <c r="L103" s="10" t="s">
        <v>885</v>
      </c>
      <c r="M103" s="10" t="s">
        <v>886</v>
      </c>
    </row>
    <row r="104" customFormat="false" ht="35.05" hidden="false" customHeight="false" outlineLevel="0" collapsed="false">
      <c r="A104" s="10" t="s">
        <v>408</v>
      </c>
      <c r="B104" s="10" t="s">
        <v>466</v>
      </c>
      <c r="C104" s="10" t="s">
        <v>887</v>
      </c>
      <c r="D104" s="10" t="s">
        <v>302</v>
      </c>
      <c r="E104" s="10" t="s">
        <v>888</v>
      </c>
      <c r="F104" s="10" t="s">
        <v>441</v>
      </c>
      <c r="G104" s="10" t="s">
        <v>889</v>
      </c>
      <c r="H104" s="10" t="s">
        <v>890</v>
      </c>
      <c r="I104" s="10" t="s">
        <v>44</v>
      </c>
      <c r="J104" s="10" t="s">
        <v>891</v>
      </c>
      <c r="K104" s="10" t="s">
        <v>296</v>
      </c>
      <c r="L104" s="10" t="s">
        <v>892</v>
      </c>
      <c r="M104" s="10" t="s">
        <v>893</v>
      </c>
    </row>
    <row r="105" customFormat="false" ht="46.25" hidden="false" customHeight="false" outlineLevel="0" collapsed="false">
      <c r="A105" s="10" t="s">
        <v>408</v>
      </c>
      <c r="B105" s="10" t="s">
        <v>466</v>
      </c>
      <c r="C105" s="10" t="s">
        <v>894</v>
      </c>
      <c r="D105" s="10" t="s">
        <v>302</v>
      </c>
      <c r="E105" s="10" t="s">
        <v>895</v>
      </c>
      <c r="F105" s="10" t="s">
        <v>441</v>
      </c>
      <c r="G105" s="10" t="s">
        <v>889</v>
      </c>
      <c r="H105" s="10" t="s">
        <v>896</v>
      </c>
      <c r="I105" s="10" t="s">
        <v>44</v>
      </c>
      <c r="J105" s="10" t="s">
        <v>891</v>
      </c>
      <c r="K105" s="10" t="s">
        <v>296</v>
      </c>
      <c r="L105" s="10" t="s">
        <v>897</v>
      </c>
      <c r="M105" s="10" t="s">
        <v>898</v>
      </c>
    </row>
    <row r="106" customFormat="false" ht="35.05" hidden="false" customHeight="false" outlineLevel="0" collapsed="false">
      <c r="A106" s="10" t="s">
        <v>408</v>
      </c>
      <c r="B106" s="10" t="s">
        <v>466</v>
      </c>
      <c r="C106" s="10" t="s">
        <v>899</v>
      </c>
      <c r="D106" s="10" t="s">
        <v>302</v>
      </c>
      <c r="E106" s="10" t="s">
        <v>900</v>
      </c>
      <c r="F106" s="10" t="s">
        <v>441</v>
      </c>
      <c r="G106" s="10" t="s">
        <v>889</v>
      </c>
      <c r="H106" s="10" t="s">
        <v>901</v>
      </c>
      <c r="I106" s="10" t="s">
        <v>44</v>
      </c>
      <c r="J106" s="10" t="s">
        <v>891</v>
      </c>
      <c r="K106" s="10" t="s">
        <v>296</v>
      </c>
      <c r="L106" s="10" t="s">
        <v>902</v>
      </c>
      <c r="M106" s="10" t="s">
        <v>903</v>
      </c>
    </row>
    <row r="107" customFormat="false" ht="35.05" hidden="false" customHeight="false" outlineLevel="0" collapsed="false">
      <c r="A107" s="10" t="s">
        <v>408</v>
      </c>
      <c r="B107" s="10" t="s">
        <v>466</v>
      </c>
      <c r="C107" s="10" t="s">
        <v>904</v>
      </c>
      <c r="D107" s="10" t="s">
        <v>302</v>
      </c>
      <c r="E107" s="10" t="s">
        <v>905</v>
      </c>
      <c r="F107" s="10" t="s">
        <v>292</v>
      </c>
      <c r="G107" s="10" t="s">
        <v>906</v>
      </c>
      <c r="H107" s="10" t="s">
        <v>907</v>
      </c>
      <c r="I107" s="10" t="s">
        <v>44</v>
      </c>
      <c r="J107" s="10" t="s">
        <v>908</v>
      </c>
      <c r="K107" s="10" t="s">
        <v>296</v>
      </c>
      <c r="L107" s="10" t="s">
        <v>909</v>
      </c>
      <c r="M107" s="10" t="s">
        <v>910</v>
      </c>
    </row>
    <row r="108" customFormat="false" ht="35.05" hidden="false" customHeight="false" outlineLevel="0" collapsed="false">
      <c r="A108" s="10" t="s">
        <v>408</v>
      </c>
      <c r="B108" s="10" t="s">
        <v>466</v>
      </c>
      <c r="C108" s="10" t="s">
        <v>911</v>
      </c>
      <c r="D108" s="10" t="s">
        <v>302</v>
      </c>
      <c r="E108" s="10" t="s">
        <v>912</v>
      </c>
      <c r="F108" s="10" t="s">
        <v>292</v>
      </c>
      <c r="G108" s="10" t="s">
        <v>906</v>
      </c>
      <c r="H108" s="10" t="s">
        <v>323</v>
      </c>
      <c r="I108" s="10" t="s">
        <v>44</v>
      </c>
      <c r="J108" s="10" t="s">
        <v>908</v>
      </c>
      <c r="K108" s="10" t="s">
        <v>296</v>
      </c>
      <c r="L108" s="10" t="s">
        <v>913</v>
      </c>
      <c r="M108" s="10" t="s">
        <v>914</v>
      </c>
    </row>
    <row r="109" customFormat="false" ht="35.05" hidden="false" customHeight="false" outlineLevel="0" collapsed="false">
      <c r="A109" s="10" t="s">
        <v>408</v>
      </c>
      <c r="B109" s="10" t="s">
        <v>466</v>
      </c>
      <c r="C109" s="10" t="s">
        <v>915</v>
      </c>
      <c r="D109" s="10" t="s">
        <v>302</v>
      </c>
      <c r="E109" s="10" t="s">
        <v>916</v>
      </c>
      <c r="F109" s="10" t="s">
        <v>292</v>
      </c>
      <c r="G109" s="10" t="s">
        <v>906</v>
      </c>
      <c r="H109" s="10" t="s">
        <v>917</v>
      </c>
      <c r="I109" s="10" t="s">
        <v>44</v>
      </c>
      <c r="J109" s="10" t="s">
        <v>908</v>
      </c>
      <c r="K109" s="10" t="s">
        <v>296</v>
      </c>
      <c r="L109" s="10" t="s">
        <v>913</v>
      </c>
      <c r="M109" s="10" t="s">
        <v>918</v>
      </c>
    </row>
    <row r="110" customFormat="false" ht="35.05" hidden="false" customHeight="false" outlineLevel="0" collapsed="false">
      <c r="A110" s="10" t="s">
        <v>408</v>
      </c>
      <c r="B110" s="10" t="s">
        <v>466</v>
      </c>
      <c r="C110" s="10" t="s">
        <v>919</v>
      </c>
      <c r="D110" s="10" t="s">
        <v>302</v>
      </c>
      <c r="E110" s="10" t="s">
        <v>920</v>
      </c>
      <c r="F110" s="10" t="s">
        <v>292</v>
      </c>
      <c r="G110" s="10" t="s">
        <v>906</v>
      </c>
      <c r="H110" s="10" t="s">
        <v>921</v>
      </c>
      <c r="I110" s="10" t="s">
        <v>44</v>
      </c>
      <c r="J110" s="10" t="s">
        <v>908</v>
      </c>
      <c r="K110" s="10" t="s">
        <v>296</v>
      </c>
      <c r="L110" s="10" t="s">
        <v>913</v>
      </c>
      <c r="M110" s="10" t="s">
        <v>922</v>
      </c>
    </row>
    <row r="111" customFormat="false" ht="35.05" hidden="false" customHeight="false" outlineLevel="0" collapsed="false">
      <c r="A111" s="10" t="s">
        <v>408</v>
      </c>
      <c r="B111" s="10" t="s">
        <v>466</v>
      </c>
      <c r="C111" s="10" t="s">
        <v>923</v>
      </c>
      <c r="D111" s="10" t="s">
        <v>302</v>
      </c>
      <c r="E111" s="10" t="s">
        <v>924</v>
      </c>
      <c r="F111" s="10" t="s">
        <v>292</v>
      </c>
      <c r="G111" s="10" t="s">
        <v>906</v>
      </c>
      <c r="H111" s="10" t="s">
        <v>836</v>
      </c>
      <c r="I111" s="10" t="s">
        <v>44</v>
      </c>
      <c r="J111" s="10" t="s">
        <v>908</v>
      </c>
      <c r="K111" s="10" t="s">
        <v>296</v>
      </c>
      <c r="L111" s="10" t="s">
        <v>913</v>
      </c>
      <c r="M111" s="10" t="s">
        <v>925</v>
      </c>
    </row>
    <row r="112" customFormat="false" ht="35.05" hidden="false" customHeight="false" outlineLevel="0" collapsed="false">
      <c r="A112" s="10" t="s">
        <v>659</v>
      </c>
      <c r="B112" s="10" t="s">
        <v>926</v>
      </c>
      <c r="C112" s="10" t="s">
        <v>660</v>
      </c>
      <c r="D112" s="10" t="s">
        <v>302</v>
      </c>
      <c r="E112" s="10" t="s">
        <v>927</v>
      </c>
      <c r="F112" s="10" t="s">
        <v>441</v>
      </c>
      <c r="G112" s="10" t="s">
        <v>928</v>
      </c>
      <c r="H112" s="10" t="s">
        <v>929</v>
      </c>
      <c r="I112" s="10" t="s">
        <v>44</v>
      </c>
      <c r="J112" s="10" t="s">
        <v>930</v>
      </c>
      <c r="K112" s="10" t="s">
        <v>296</v>
      </c>
      <c r="L112" s="10" t="s">
        <v>931</v>
      </c>
      <c r="M112" s="10" t="s">
        <v>932</v>
      </c>
    </row>
    <row r="113" customFormat="false" ht="35.05" hidden="false" customHeight="false" outlineLevel="0" collapsed="false">
      <c r="A113" s="10" t="s">
        <v>76</v>
      </c>
      <c r="B113" s="10" t="s">
        <v>926</v>
      </c>
      <c r="C113" s="10" t="s">
        <v>725</v>
      </c>
      <c r="D113" s="10" t="s">
        <v>302</v>
      </c>
      <c r="E113" s="10" t="s">
        <v>933</v>
      </c>
      <c r="F113" s="10" t="s">
        <v>441</v>
      </c>
      <c r="G113" s="10" t="s">
        <v>928</v>
      </c>
      <c r="H113" s="10" t="s">
        <v>934</v>
      </c>
      <c r="I113" s="10" t="s">
        <v>44</v>
      </c>
      <c r="J113" s="10" t="s">
        <v>935</v>
      </c>
      <c r="K113" s="10" t="s">
        <v>296</v>
      </c>
      <c r="L113" s="10" t="s">
        <v>931</v>
      </c>
      <c r="M113" s="10" t="s">
        <v>932</v>
      </c>
    </row>
    <row r="114" customFormat="false" ht="35.05" hidden="false" customHeight="false" outlineLevel="0" collapsed="false">
      <c r="A114" s="10" t="s">
        <v>408</v>
      </c>
      <c r="B114" s="10" t="s">
        <v>926</v>
      </c>
      <c r="C114" s="10" t="s">
        <v>574</v>
      </c>
      <c r="D114" s="10" t="s">
        <v>302</v>
      </c>
      <c r="E114" s="10" t="s">
        <v>936</v>
      </c>
      <c r="F114" s="10" t="s">
        <v>441</v>
      </c>
      <c r="G114" s="10" t="s">
        <v>928</v>
      </c>
      <c r="H114" s="10" t="s">
        <v>937</v>
      </c>
      <c r="I114" s="10" t="s">
        <v>44</v>
      </c>
      <c r="J114" s="10" t="s">
        <v>938</v>
      </c>
      <c r="K114" s="10" t="s">
        <v>296</v>
      </c>
      <c r="L114" s="10" t="s">
        <v>931</v>
      </c>
      <c r="M114" s="10" t="s">
        <v>932</v>
      </c>
    </row>
    <row r="115" customFormat="false" ht="35.05" hidden="false" customHeight="false" outlineLevel="0" collapsed="false">
      <c r="A115" s="10" t="s">
        <v>408</v>
      </c>
      <c r="B115" s="10" t="s">
        <v>926</v>
      </c>
      <c r="C115" s="10" t="s">
        <v>642</v>
      </c>
      <c r="D115" s="10" t="s">
        <v>302</v>
      </c>
      <c r="E115" s="10" t="s">
        <v>939</v>
      </c>
      <c r="F115" s="10" t="s">
        <v>441</v>
      </c>
      <c r="G115" s="10" t="s">
        <v>928</v>
      </c>
      <c r="H115" s="10" t="s">
        <v>940</v>
      </c>
      <c r="I115" s="10" t="s">
        <v>44</v>
      </c>
      <c r="J115" s="10" t="s">
        <v>941</v>
      </c>
      <c r="K115" s="10" t="s">
        <v>296</v>
      </c>
      <c r="L115" s="10" t="s">
        <v>931</v>
      </c>
      <c r="M115" s="10" t="s">
        <v>932</v>
      </c>
    </row>
    <row r="116" customFormat="false" ht="35.05" hidden="false" customHeight="false" outlineLevel="0" collapsed="false">
      <c r="A116" s="10" t="s">
        <v>408</v>
      </c>
      <c r="B116" s="10" t="s">
        <v>926</v>
      </c>
      <c r="C116" s="10" t="s">
        <v>593</v>
      </c>
      <c r="D116" s="10" t="s">
        <v>302</v>
      </c>
      <c r="E116" s="10" t="s">
        <v>942</v>
      </c>
      <c r="F116" s="10" t="s">
        <v>441</v>
      </c>
      <c r="G116" s="10" t="s">
        <v>928</v>
      </c>
      <c r="H116" s="10" t="s">
        <v>943</v>
      </c>
      <c r="I116" s="10" t="s">
        <v>44</v>
      </c>
      <c r="J116" s="10" t="s">
        <v>944</v>
      </c>
      <c r="K116" s="10" t="s">
        <v>296</v>
      </c>
      <c r="L116" s="10" t="s">
        <v>931</v>
      </c>
      <c r="M116" s="10" t="s">
        <v>932</v>
      </c>
    </row>
    <row r="117" customFormat="false" ht="35.05" hidden="false" customHeight="false" outlineLevel="0" collapsed="false">
      <c r="A117" s="10" t="s">
        <v>803</v>
      </c>
      <c r="B117" s="10" t="s">
        <v>926</v>
      </c>
      <c r="C117" s="10" t="s">
        <v>804</v>
      </c>
      <c r="D117" s="10" t="s">
        <v>302</v>
      </c>
      <c r="E117" s="10" t="s">
        <v>945</v>
      </c>
      <c r="F117" s="10" t="s">
        <v>441</v>
      </c>
      <c r="G117" s="10" t="s">
        <v>928</v>
      </c>
      <c r="H117" s="10" t="s">
        <v>946</v>
      </c>
      <c r="I117" s="10" t="s">
        <v>44</v>
      </c>
      <c r="J117" s="10" t="s">
        <v>947</v>
      </c>
      <c r="K117" s="10" t="s">
        <v>296</v>
      </c>
      <c r="L117" s="10" t="s">
        <v>931</v>
      </c>
      <c r="M117" s="10" t="s">
        <v>932</v>
      </c>
    </row>
    <row r="118" customFormat="false" ht="79.85" hidden="false" customHeight="false" outlineLevel="0" collapsed="false">
      <c r="A118" s="10" t="s">
        <v>408</v>
      </c>
      <c r="B118" s="10" t="s">
        <v>926</v>
      </c>
      <c r="C118" s="10" t="s">
        <v>881</v>
      </c>
      <c r="D118" s="10" t="s">
        <v>302</v>
      </c>
      <c r="E118" s="10" t="s">
        <v>882</v>
      </c>
      <c r="F118" s="10" t="s">
        <v>356</v>
      </c>
      <c r="G118" s="10" t="s">
        <v>213</v>
      </c>
      <c r="H118" s="10" t="s">
        <v>948</v>
      </c>
      <c r="I118" s="10" t="s">
        <v>44</v>
      </c>
      <c r="J118" s="10" t="s">
        <v>884</v>
      </c>
      <c r="K118" s="10" t="s">
        <v>296</v>
      </c>
      <c r="L118" s="10" t="s">
        <v>885</v>
      </c>
      <c r="M118" s="10" t="s">
        <v>886</v>
      </c>
    </row>
    <row r="119" customFormat="false" ht="23.85" hidden="false" customHeight="false" outlineLevel="0" collapsed="false">
      <c r="A119" s="10" t="s">
        <v>949</v>
      </c>
      <c r="B119" s="10" t="s">
        <v>950</v>
      </c>
      <c r="C119" s="10" t="s">
        <v>951</v>
      </c>
      <c r="D119" s="10" t="s">
        <v>302</v>
      </c>
      <c r="E119" s="10" t="s">
        <v>952</v>
      </c>
      <c r="F119" s="10" t="s">
        <v>356</v>
      </c>
      <c r="G119" s="10" t="s">
        <v>213</v>
      </c>
      <c r="H119" s="10" t="s">
        <v>660</v>
      </c>
      <c r="I119" s="10" t="s">
        <v>44</v>
      </c>
      <c r="J119" s="10" t="s">
        <v>953</v>
      </c>
      <c r="K119" s="10" t="s">
        <v>296</v>
      </c>
      <c r="L119" s="10" t="s">
        <v>954</v>
      </c>
      <c r="M119" s="10" t="s">
        <v>955</v>
      </c>
    </row>
    <row r="120" customFormat="false" ht="23.85" hidden="false" customHeight="false" outlineLevel="0" collapsed="false">
      <c r="A120" s="10" t="s">
        <v>659</v>
      </c>
      <c r="B120" s="10" t="s">
        <v>950</v>
      </c>
      <c r="C120" s="10" t="s">
        <v>660</v>
      </c>
      <c r="D120" s="10" t="s">
        <v>302</v>
      </c>
      <c r="E120" s="10" t="s">
        <v>956</v>
      </c>
      <c r="F120" s="10" t="s">
        <v>441</v>
      </c>
      <c r="G120" s="10" t="s">
        <v>957</v>
      </c>
      <c r="H120" s="10" t="s">
        <v>323</v>
      </c>
      <c r="I120" s="10" t="s">
        <v>44</v>
      </c>
      <c r="J120" s="10" t="s">
        <v>958</v>
      </c>
      <c r="K120" s="10" t="s">
        <v>296</v>
      </c>
      <c r="L120" s="10" t="s">
        <v>959</v>
      </c>
      <c r="M120" s="10" t="s">
        <v>960</v>
      </c>
    </row>
    <row r="121" customFormat="false" ht="23.85" hidden="false" customHeight="false" outlineLevel="0" collapsed="false">
      <c r="A121" s="10" t="s">
        <v>949</v>
      </c>
      <c r="B121" s="10" t="s">
        <v>950</v>
      </c>
      <c r="C121" s="10" t="s">
        <v>503</v>
      </c>
      <c r="D121" s="10" t="s">
        <v>302</v>
      </c>
      <c r="E121" s="10" t="s">
        <v>961</v>
      </c>
      <c r="F121" s="10" t="s">
        <v>441</v>
      </c>
      <c r="G121" s="10" t="s">
        <v>957</v>
      </c>
      <c r="H121" s="10" t="s">
        <v>962</v>
      </c>
      <c r="I121" s="10" t="s">
        <v>44</v>
      </c>
      <c r="J121" s="10" t="s">
        <v>963</v>
      </c>
      <c r="K121" s="10" t="s">
        <v>296</v>
      </c>
      <c r="L121" s="10" t="s">
        <v>959</v>
      </c>
      <c r="M121" s="10" t="s">
        <v>964</v>
      </c>
    </row>
    <row r="122" customFormat="false" ht="23.85" hidden="false" customHeight="false" outlineLevel="0" collapsed="false">
      <c r="A122" s="10" t="s">
        <v>949</v>
      </c>
      <c r="B122" s="10" t="s">
        <v>950</v>
      </c>
      <c r="C122" s="10" t="s">
        <v>574</v>
      </c>
      <c r="D122" s="10" t="s">
        <v>302</v>
      </c>
      <c r="E122" s="10" t="s">
        <v>965</v>
      </c>
      <c r="F122" s="10" t="s">
        <v>441</v>
      </c>
      <c r="G122" s="10" t="s">
        <v>957</v>
      </c>
      <c r="H122" s="10" t="s">
        <v>966</v>
      </c>
      <c r="I122" s="10" t="s">
        <v>44</v>
      </c>
      <c r="J122" s="10" t="s">
        <v>967</v>
      </c>
      <c r="K122" s="10" t="s">
        <v>296</v>
      </c>
      <c r="L122" s="10" t="s">
        <v>959</v>
      </c>
      <c r="M122" s="10" t="s">
        <v>968</v>
      </c>
    </row>
    <row r="123" customFormat="false" ht="23.85" hidden="false" customHeight="false" outlineLevel="0" collapsed="false">
      <c r="A123" s="10" t="s">
        <v>949</v>
      </c>
      <c r="B123" s="10" t="s">
        <v>950</v>
      </c>
      <c r="C123" s="10" t="s">
        <v>549</v>
      </c>
      <c r="D123" s="10" t="s">
        <v>302</v>
      </c>
      <c r="E123" s="10" t="s">
        <v>969</v>
      </c>
      <c r="F123" s="10" t="s">
        <v>441</v>
      </c>
      <c r="G123" s="10" t="s">
        <v>957</v>
      </c>
      <c r="H123" s="10" t="s">
        <v>970</v>
      </c>
      <c r="I123" s="10" t="s">
        <v>44</v>
      </c>
      <c r="J123" s="10" t="s">
        <v>963</v>
      </c>
      <c r="K123" s="10" t="s">
        <v>296</v>
      </c>
      <c r="L123" s="10" t="s">
        <v>959</v>
      </c>
      <c r="M123" s="10" t="s">
        <v>971</v>
      </c>
    </row>
    <row r="124" customFormat="false" ht="23.85" hidden="false" customHeight="false" outlineLevel="0" collapsed="false">
      <c r="A124" s="10" t="s">
        <v>949</v>
      </c>
      <c r="B124" s="10" t="s">
        <v>950</v>
      </c>
      <c r="C124" s="10" t="s">
        <v>496</v>
      </c>
      <c r="D124" s="10" t="s">
        <v>302</v>
      </c>
      <c r="E124" s="10" t="s">
        <v>972</v>
      </c>
      <c r="F124" s="10" t="s">
        <v>441</v>
      </c>
      <c r="G124" s="10" t="s">
        <v>957</v>
      </c>
      <c r="H124" s="10" t="s">
        <v>973</v>
      </c>
      <c r="I124" s="10" t="s">
        <v>44</v>
      </c>
      <c r="J124" s="10" t="s">
        <v>974</v>
      </c>
      <c r="K124" s="10" t="s">
        <v>296</v>
      </c>
      <c r="L124" s="10" t="s">
        <v>959</v>
      </c>
      <c r="M124" s="10" t="s">
        <v>975</v>
      </c>
    </row>
    <row r="125" customFormat="false" ht="23.85" hidden="false" customHeight="false" outlineLevel="0" collapsed="false">
      <c r="A125" s="10" t="s">
        <v>949</v>
      </c>
      <c r="B125" s="10" t="s">
        <v>950</v>
      </c>
      <c r="C125" s="10" t="s">
        <v>593</v>
      </c>
      <c r="D125" s="10" t="s">
        <v>302</v>
      </c>
      <c r="E125" s="10" t="s">
        <v>976</v>
      </c>
      <c r="F125" s="10" t="s">
        <v>441</v>
      </c>
      <c r="G125" s="10" t="s">
        <v>957</v>
      </c>
      <c r="H125" s="10" t="s">
        <v>977</v>
      </c>
      <c r="I125" s="10" t="s">
        <v>44</v>
      </c>
      <c r="J125" s="10" t="s">
        <v>978</v>
      </c>
      <c r="K125" s="10" t="s">
        <v>296</v>
      </c>
      <c r="L125" s="10" t="s">
        <v>959</v>
      </c>
      <c r="M125" s="10" t="s">
        <v>979</v>
      </c>
    </row>
    <row r="126" customFormat="false" ht="23.85" hidden="false" customHeight="false" outlineLevel="0" collapsed="false">
      <c r="A126" s="10" t="s">
        <v>949</v>
      </c>
      <c r="B126" s="10" t="s">
        <v>950</v>
      </c>
      <c r="C126" s="10" t="s">
        <v>605</v>
      </c>
      <c r="D126" s="10" t="s">
        <v>302</v>
      </c>
      <c r="E126" s="10" t="s">
        <v>980</v>
      </c>
      <c r="F126" s="10" t="s">
        <v>441</v>
      </c>
      <c r="G126" s="10" t="s">
        <v>957</v>
      </c>
      <c r="H126" s="10" t="s">
        <v>981</v>
      </c>
      <c r="I126" s="10" t="s">
        <v>44</v>
      </c>
      <c r="J126" s="10" t="s">
        <v>982</v>
      </c>
      <c r="K126" s="10" t="s">
        <v>296</v>
      </c>
      <c r="L126" s="10" t="s">
        <v>959</v>
      </c>
      <c r="M126" s="10" t="s">
        <v>983</v>
      </c>
    </row>
    <row r="127" customFormat="false" ht="23.85" hidden="false" customHeight="false" outlineLevel="0" collapsed="false">
      <c r="A127" s="10" t="s">
        <v>949</v>
      </c>
      <c r="B127" s="10" t="s">
        <v>950</v>
      </c>
      <c r="C127" s="10" t="s">
        <v>642</v>
      </c>
      <c r="D127" s="10" t="s">
        <v>302</v>
      </c>
      <c r="E127" s="10" t="s">
        <v>984</v>
      </c>
      <c r="F127" s="10" t="s">
        <v>441</v>
      </c>
      <c r="G127" s="10" t="s">
        <v>957</v>
      </c>
      <c r="H127" s="10" t="s">
        <v>985</v>
      </c>
      <c r="I127" s="10" t="s">
        <v>44</v>
      </c>
      <c r="J127" s="10" t="s">
        <v>986</v>
      </c>
      <c r="K127" s="10" t="s">
        <v>296</v>
      </c>
      <c r="L127" s="10" t="s">
        <v>959</v>
      </c>
      <c r="M127" s="10" t="s">
        <v>987</v>
      </c>
    </row>
    <row r="128" customFormat="false" ht="23.85" hidden="false" customHeight="false" outlineLevel="0" collapsed="false">
      <c r="A128" s="10" t="s">
        <v>949</v>
      </c>
      <c r="B128" s="10" t="s">
        <v>950</v>
      </c>
      <c r="C128" s="10" t="s">
        <v>653</v>
      </c>
      <c r="D128" s="10" t="s">
        <v>302</v>
      </c>
      <c r="E128" s="10" t="s">
        <v>988</v>
      </c>
      <c r="F128" s="10" t="s">
        <v>441</v>
      </c>
      <c r="G128" s="10" t="s">
        <v>957</v>
      </c>
      <c r="H128" s="10" t="s">
        <v>989</v>
      </c>
      <c r="I128" s="10" t="s">
        <v>44</v>
      </c>
      <c r="J128" s="10" t="s">
        <v>986</v>
      </c>
      <c r="K128" s="10" t="s">
        <v>296</v>
      </c>
      <c r="L128" s="10" t="s">
        <v>959</v>
      </c>
      <c r="M128" s="10" t="s">
        <v>990</v>
      </c>
    </row>
    <row r="129" customFormat="false" ht="23.85" hidden="false" customHeight="false" outlineLevel="0" collapsed="false">
      <c r="A129" s="10" t="s">
        <v>76</v>
      </c>
      <c r="B129" s="10" t="s">
        <v>950</v>
      </c>
      <c r="C129" s="10" t="s">
        <v>725</v>
      </c>
      <c r="D129" s="10" t="s">
        <v>302</v>
      </c>
      <c r="E129" s="10" t="s">
        <v>991</v>
      </c>
      <c r="F129" s="10" t="s">
        <v>441</v>
      </c>
      <c r="G129" s="10" t="s">
        <v>957</v>
      </c>
      <c r="H129" s="10" t="s">
        <v>992</v>
      </c>
      <c r="I129" s="10" t="s">
        <v>44</v>
      </c>
      <c r="J129" s="10" t="s">
        <v>993</v>
      </c>
      <c r="K129" s="10" t="s">
        <v>296</v>
      </c>
      <c r="L129" s="10" t="s">
        <v>959</v>
      </c>
      <c r="M129" s="10" t="s">
        <v>994</v>
      </c>
    </row>
    <row r="130" customFormat="false" ht="46.25" hidden="false" customHeight="false" outlineLevel="0" collapsed="false">
      <c r="A130" s="10" t="s">
        <v>949</v>
      </c>
      <c r="B130" s="10" t="s">
        <v>950</v>
      </c>
      <c r="C130" s="10" t="s">
        <v>695</v>
      </c>
      <c r="D130" s="10" t="s">
        <v>302</v>
      </c>
      <c r="E130" s="10" t="s">
        <v>995</v>
      </c>
      <c r="F130" s="10" t="s">
        <v>441</v>
      </c>
      <c r="G130" s="10" t="s">
        <v>957</v>
      </c>
      <c r="H130" s="10" t="s">
        <v>996</v>
      </c>
      <c r="I130" s="10" t="s">
        <v>44</v>
      </c>
      <c r="J130" s="10" t="s">
        <v>997</v>
      </c>
      <c r="K130" s="10" t="s">
        <v>296</v>
      </c>
      <c r="L130" s="10" t="s">
        <v>959</v>
      </c>
      <c r="M130" s="10" t="s">
        <v>998</v>
      </c>
    </row>
    <row r="131" customFormat="false" ht="35.05" hidden="false" customHeight="false" outlineLevel="0" collapsed="false">
      <c r="A131" s="10" t="s">
        <v>76</v>
      </c>
      <c r="B131" s="10" t="s">
        <v>950</v>
      </c>
      <c r="C131" s="10" t="s">
        <v>732</v>
      </c>
      <c r="D131" s="10" t="s">
        <v>302</v>
      </c>
      <c r="E131" s="10" t="s">
        <v>999</v>
      </c>
      <c r="F131" s="10" t="s">
        <v>441</v>
      </c>
      <c r="G131" s="10" t="s">
        <v>957</v>
      </c>
      <c r="H131" s="10" t="s">
        <v>1000</v>
      </c>
      <c r="I131" s="10" t="s">
        <v>44</v>
      </c>
      <c r="J131" s="10" t="s">
        <v>1001</v>
      </c>
      <c r="K131" s="10" t="s">
        <v>296</v>
      </c>
      <c r="L131" s="10" t="s">
        <v>959</v>
      </c>
      <c r="M131" s="10" t="s">
        <v>1002</v>
      </c>
    </row>
    <row r="132" customFormat="false" ht="23.85" hidden="false" customHeight="false" outlineLevel="0" collapsed="false">
      <c r="A132" s="10" t="s">
        <v>76</v>
      </c>
      <c r="B132" s="10" t="s">
        <v>950</v>
      </c>
      <c r="C132" s="10" t="s">
        <v>738</v>
      </c>
      <c r="D132" s="10" t="s">
        <v>302</v>
      </c>
      <c r="E132" s="10" t="s">
        <v>1003</v>
      </c>
      <c r="F132" s="10" t="s">
        <v>441</v>
      </c>
      <c r="G132" s="10" t="s">
        <v>957</v>
      </c>
      <c r="H132" s="10" t="s">
        <v>1004</v>
      </c>
      <c r="I132" s="10" t="s">
        <v>44</v>
      </c>
      <c r="J132" s="10" t="s">
        <v>1005</v>
      </c>
      <c r="K132" s="10" t="s">
        <v>296</v>
      </c>
      <c r="L132" s="10" t="s">
        <v>959</v>
      </c>
      <c r="M132" s="10" t="s">
        <v>1006</v>
      </c>
    </row>
    <row r="133" customFormat="false" ht="23.85" hidden="false" customHeight="false" outlineLevel="0" collapsed="false">
      <c r="A133" s="10" t="s">
        <v>76</v>
      </c>
      <c r="B133" s="10" t="s">
        <v>950</v>
      </c>
      <c r="C133" s="10" t="s">
        <v>674</v>
      </c>
      <c r="D133" s="10" t="s">
        <v>302</v>
      </c>
      <c r="E133" s="10" t="s">
        <v>1007</v>
      </c>
      <c r="F133" s="10" t="s">
        <v>441</v>
      </c>
      <c r="G133" s="10" t="s">
        <v>957</v>
      </c>
      <c r="H133" s="10" t="s">
        <v>1008</v>
      </c>
      <c r="I133" s="10" t="s">
        <v>44</v>
      </c>
      <c r="J133" s="10" t="s">
        <v>1009</v>
      </c>
      <c r="K133" s="10" t="s">
        <v>296</v>
      </c>
      <c r="L133" s="10" t="s">
        <v>959</v>
      </c>
      <c r="M133" s="10" t="s">
        <v>1010</v>
      </c>
    </row>
    <row r="134" customFormat="false" ht="23.85" hidden="false" customHeight="false" outlineLevel="0" collapsed="false">
      <c r="A134" s="10" t="s">
        <v>803</v>
      </c>
      <c r="B134" s="10" t="s">
        <v>950</v>
      </c>
      <c r="C134" s="10" t="s">
        <v>804</v>
      </c>
      <c r="D134" s="10" t="s">
        <v>302</v>
      </c>
      <c r="E134" s="10" t="s">
        <v>1011</v>
      </c>
      <c r="F134" s="10" t="s">
        <v>441</v>
      </c>
      <c r="G134" s="10" t="s">
        <v>957</v>
      </c>
      <c r="H134" s="10" t="s">
        <v>1012</v>
      </c>
      <c r="I134" s="10" t="s">
        <v>44</v>
      </c>
      <c r="J134" s="10" t="s">
        <v>1013</v>
      </c>
      <c r="K134" s="10" t="s">
        <v>296</v>
      </c>
      <c r="L134" s="10" t="s">
        <v>959</v>
      </c>
      <c r="M134" s="10" t="s">
        <v>1014</v>
      </c>
    </row>
    <row r="135" customFormat="false" ht="23.85" hidden="false" customHeight="false" outlineLevel="0" collapsed="false">
      <c r="A135" s="10" t="s">
        <v>796</v>
      </c>
      <c r="B135" s="10" t="s">
        <v>950</v>
      </c>
      <c r="C135" s="10" t="s">
        <v>797</v>
      </c>
      <c r="D135" s="10" t="s">
        <v>302</v>
      </c>
      <c r="E135" s="10" t="s">
        <v>1015</v>
      </c>
      <c r="F135" s="10" t="s">
        <v>441</v>
      </c>
      <c r="G135" s="10" t="s">
        <v>957</v>
      </c>
      <c r="H135" s="10" t="s">
        <v>1016</v>
      </c>
      <c r="I135" s="10" t="s">
        <v>44</v>
      </c>
      <c r="J135" s="10" t="s">
        <v>1017</v>
      </c>
      <c r="K135" s="10" t="s">
        <v>296</v>
      </c>
      <c r="L135" s="10" t="s">
        <v>959</v>
      </c>
      <c r="M135" s="10" t="s">
        <v>1018</v>
      </c>
    </row>
    <row r="136" customFormat="false" ht="23.85" hidden="false" customHeight="false" outlineLevel="0" collapsed="false">
      <c r="A136" s="10" t="s">
        <v>819</v>
      </c>
      <c r="B136" s="10" t="s">
        <v>950</v>
      </c>
      <c r="C136" s="10" t="s">
        <v>820</v>
      </c>
      <c r="D136" s="10" t="s">
        <v>302</v>
      </c>
      <c r="E136" s="10" t="s">
        <v>1019</v>
      </c>
      <c r="F136" s="10" t="s">
        <v>441</v>
      </c>
      <c r="G136" s="10" t="s">
        <v>957</v>
      </c>
      <c r="H136" s="10" t="s">
        <v>1020</v>
      </c>
      <c r="I136" s="10" t="s">
        <v>44</v>
      </c>
      <c r="J136" s="10" t="s">
        <v>1017</v>
      </c>
      <c r="K136" s="10" t="s">
        <v>296</v>
      </c>
      <c r="L136" s="10" t="s">
        <v>959</v>
      </c>
      <c r="M136" s="10" t="s">
        <v>1021</v>
      </c>
    </row>
    <row r="137" customFormat="false" ht="23.85" hidden="false" customHeight="false" outlineLevel="0" collapsed="false">
      <c r="A137" s="10" t="s">
        <v>949</v>
      </c>
      <c r="B137" s="10" t="s">
        <v>1022</v>
      </c>
      <c r="C137" s="10" t="s">
        <v>951</v>
      </c>
      <c r="D137" s="10" t="s">
        <v>302</v>
      </c>
      <c r="E137" s="10" t="s">
        <v>952</v>
      </c>
      <c r="F137" s="10" t="s">
        <v>356</v>
      </c>
      <c r="G137" s="10" t="s">
        <v>213</v>
      </c>
      <c r="H137" s="10" t="s">
        <v>660</v>
      </c>
      <c r="I137" s="10" t="s">
        <v>44</v>
      </c>
      <c r="J137" s="10" t="s">
        <v>953</v>
      </c>
      <c r="K137" s="10" t="s">
        <v>296</v>
      </c>
      <c r="L137" s="10" t="s">
        <v>954</v>
      </c>
      <c r="M137" s="10" t="s">
        <v>955</v>
      </c>
    </row>
    <row r="138" customFormat="false" ht="23.85" hidden="false" customHeight="false" outlineLevel="0" collapsed="false">
      <c r="A138" s="10" t="s">
        <v>659</v>
      </c>
      <c r="B138" s="10" t="s">
        <v>1022</v>
      </c>
      <c r="C138" s="10" t="s">
        <v>660</v>
      </c>
      <c r="D138" s="10" t="s">
        <v>302</v>
      </c>
      <c r="E138" s="10" t="s">
        <v>1023</v>
      </c>
      <c r="F138" s="10" t="s">
        <v>441</v>
      </c>
      <c r="G138" s="10" t="s">
        <v>957</v>
      </c>
      <c r="H138" s="10" t="s">
        <v>323</v>
      </c>
      <c r="I138" s="10" t="s">
        <v>44</v>
      </c>
      <c r="J138" s="10" t="s">
        <v>1024</v>
      </c>
      <c r="K138" s="10" t="s">
        <v>296</v>
      </c>
      <c r="L138" s="10" t="s">
        <v>1025</v>
      </c>
      <c r="M138" s="10" t="s">
        <v>960</v>
      </c>
    </row>
    <row r="139" customFormat="false" ht="23.85" hidden="false" customHeight="false" outlineLevel="0" collapsed="false">
      <c r="A139" s="10" t="s">
        <v>949</v>
      </c>
      <c r="B139" s="10" t="s">
        <v>1022</v>
      </c>
      <c r="C139" s="10" t="s">
        <v>503</v>
      </c>
      <c r="D139" s="10" t="s">
        <v>302</v>
      </c>
      <c r="E139" s="10" t="s">
        <v>1026</v>
      </c>
      <c r="F139" s="10" t="s">
        <v>441</v>
      </c>
      <c r="G139" s="10" t="s">
        <v>957</v>
      </c>
      <c r="H139" s="10" t="s">
        <v>1027</v>
      </c>
      <c r="I139" s="10" t="s">
        <v>44</v>
      </c>
      <c r="J139" s="10" t="s">
        <v>1028</v>
      </c>
      <c r="K139" s="10" t="s">
        <v>296</v>
      </c>
      <c r="L139" s="10" t="s">
        <v>1025</v>
      </c>
      <c r="M139" s="10" t="s">
        <v>964</v>
      </c>
    </row>
    <row r="140" customFormat="false" ht="23.85" hidden="false" customHeight="false" outlineLevel="0" collapsed="false">
      <c r="A140" s="10" t="s">
        <v>949</v>
      </c>
      <c r="B140" s="10" t="s">
        <v>1022</v>
      </c>
      <c r="C140" s="10" t="s">
        <v>574</v>
      </c>
      <c r="D140" s="10" t="s">
        <v>302</v>
      </c>
      <c r="E140" s="10" t="s">
        <v>1029</v>
      </c>
      <c r="F140" s="10" t="s">
        <v>441</v>
      </c>
      <c r="G140" s="10" t="s">
        <v>957</v>
      </c>
      <c r="H140" s="10" t="s">
        <v>1030</v>
      </c>
      <c r="I140" s="10" t="s">
        <v>44</v>
      </c>
      <c r="J140" s="10" t="s">
        <v>1031</v>
      </c>
      <c r="K140" s="10" t="s">
        <v>296</v>
      </c>
      <c r="L140" s="10" t="s">
        <v>1025</v>
      </c>
      <c r="M140" s="10" t="s">
        <v>968</v>
      </c>
    </row>
    <row r="141" customFormat="false" ht="23.85" hidden="false" customHeight="false" outlineLevel="0" collapsed="false">
      <c r="A141" s="10" t="s">
        <v>949</v>
      </c>
      <c r="B141" s="10" t="s">
        <v>1022</v>
      </c>
      <c r="C141" s="10" t="s">
        <v>549</v>
      </c>
      <c r="D141" s="10" t="s">
        <v>302</v>
      </c>
      <c r="E141" s="10" t="s">
        <v>1032</v>
      </c>
      <c r="F141" s="10" t="s">
        <v>441</v>
      </c>
      <c r="G141" s="10" t="s">
        <v>957</v>
      </c>
      <c r="H141" s="10" t="s">
        <v>1033</v>
      </c>
      <c r="I141" s="10" t="s">
        <v>44</v>
      </c>
      <c r="J141" s="10" t="s">
        <v>1031</v>
      </c>
      <c r="K141" s="10" t="s">
        <v>296</v>
      </c>
      <c r="L141" s="10" t="s">
        <v>1025</v>
      </c>
      <c r="M141" s="10" t="s">
        <v>971</v>
      </c>
    </row>
    <row r="142" customFormat="false" ht="23.85" hidden="false" customHeight="false" outlineLevel="0" collapsed="false">
      <c r="A142" s="10" t="s">
        <v>949</v>
      </c>
      <c r="B142" s="10" t="s">
        <v>1022</v>
      </c>
      <c r="C142" s="10" t="s">
        <v>496</v>
      </c>
      <c r="D142" s="10" t="s">
        <v>302</v>
      </c>
      <c r="E142" s="10" t="s">
        <v>1034</v>
      </c>
      <c r="F142" s="10" t="s">
        <v>441</v>
      </c>
      <c r="G142" s="10" t="s">
        <v>957</v>
      </c>
      <c r="H142" s="10" t="s">
        <v>1035</v>
      </c>
      <c r="I142" s="10" t="s">
        <v>44</v>
      </c>
      <c r="J142" s="10" t="s">
        <v>1036</v>
      </c>
      <c r="K142" s="10" t="s">
        <v>296</v>
      </c>
      <c r="L142" s="10" t="s">
        <v>1025</v>
      </c>
      <c r="M142" s="10" t="s">
        <v>975</v>
      </c>
    </row>
    <row r="143" customFormat="false" ht="23.85" hidden="false" customHeight="false" outlineLevel="0" collapsed="false">
      <c r="A143" s="10" t="s">
        <v>949</v>
      </c>
      <c r="B143" s="10" t="s">
        <v>1022</v>
      </c>
      <c r="C143" s="10" t="s">
        <v>593</v>
      </c>
      <c r="D143" s="10" t="s">
        <v>302</v>
      </c>
      <c r="E143" s="10" t="s">
        <v>1037</v>
      </c>
      <c r="F143" s="10" t="s">
        <v>441</v>
      </c>
      <c r="G143" s="10" t="s">
        <v>957</v>
      </c>
      <c r="H143" s="10" t="s">
        <v>1038</v>
      </c>
      <c r="I143" s="10" t="s">
        <v>44</v>
      </c>
      <c r="J143" s="10" t="s">
        <v>1039</v>
      </c>
      <c r="K143" s="10" t="s">
        <v>296</v>
      </c>
      <c r="L143" s="10" t="s">
        <v>1025</v>
      </c>
      <c r="M143" s="10" t="s">
        <v>979</v>
      </c>
    </row>
    <row r="144" customFormat="false" ht="23.85" hidden="false" customHeight="false" outlineLevel="0" collapsed="false">
      <c r="A144" s="10" t="s">
        <v>949</v>
      </c>
      <c r="B144" s="10" t="s">
        <v>1022</v>
      </c>
      <c r="C144" s="10" t="s">
        <v>605</v>
      </c>
      <c r="D144" s="10" t="s">
        <v>302</v>
      </c>
      <c r="E144" s="10" t="s">
        <v>1040</v>
      </c>
      <c r="F144" s="10" t="s">
        <v>441</v>
      </c>
      <c r="G144" s="10" t="s">
        <v>957</v>
      </c>
      <c r="H144" s="10" t="s">
        <v>1041</v>
      </c>
      <c r="I144" s="10" t="s">
        <v>44</v>
      </c>
      <c r="J144" s="10" t="s">
        <v>1042</v>
      </c>
      <c r="K144" s="10" t="s">
        <v>296</v>
      </c>
      <c r="L144" s="10" t="s">
        <v>1025</v>
      </c>
      <c r="M144" s="10" t="s">
        <v>983</v>
      </c>
    </row>
    <row r="145" customFormat="false" ht="23.85" hidden="false" customHeight="false" outlineLevel="0" collapsed="false">
      <c r="A145" s="10" t="s">
        <v>949</v>
      </c>
      <c r="B145" s="10" t="s">
        <v>1022</v>
      </c>
      <c r="C145" s="10" t="s">
        <v>642</v>
      </c>
      <c r="D145" s="10" t="s">
        <v>302</v>
      </c>
      <c r="E145" s="10" t="s">
        <v>1043</v>
      </c>
      <c r="F145" s="10" t="s">
        <v>441</v>
      </c>
      <c r="G145" s="10" t="s">
        <v>957</v>
      </c>
      <c r="H145" s="10" t="s">
        <v>1044</v>
      </c>
      <c r="I145" s="10" t="s">
        <v>44</v>
      </c>
      <c r="J145" s="10" t="s">
        <v>1045</v>
      </c>
      <c r="K145" s="10" t="s">
        <v>296</v>
      </c>
      <c r="L145" s="10" t="s">
        <v>1025</v>
      </c>
      <c r="M145" s="10" t="s">
        <v>987</v>
      </c>
    </row>
    <row r="146" customFormat="false" ht="23.85" hidden="false" customHeight="false" outlineLevel="0" collapsed="false">
      <c r="A146" s="10" t="s">
        <v>949</v>
      </c>
      <c r="B146" s="10" t="s">
        <v>1022</v>
      </c>
      <c r="C146" s="10" t="s">
        <v>653</v>
      </c>
      <c r="D146" s="10" t="s">
        <v>302</v>
      </c>
      <c r="E146" s="10" t="s">
        <v>1046</v>
      </c>
      <c r="F146" s="10" t="s">
        <v>441</v>
      </c>
      <c r="G146" s="10" t="s">
        <v>957</v>
      </c>
      <c r="H146" s="10" t="s">
        <v>1047</v>
      </c>
      <c r="I146" s="10" t="s">
        <v>44</v>
      </c>
      <c r="J146" s="10" t="s">
        <v>1045</v>
      </c>
      <c r="K146" s="10" t="s">
        <v>296</v>
      </c>
      <c r="L146" s="10" t="s">
        <v>1025</v>
      </c>
      <c r="M146" s="10" t="s">
        <v>990</v>
      </c>
    </row>
    <row r="147" customFormat="false" ht="35.05" hidden="false" customHeight="false" outlineLevel="0" collapsed="false">
      <c r="A147" s="10" t="s">
        <v>76</v>
      </c>
      <c r="B147" s="10" t="s">
        <v>1022</v>
      </c>
      <c r="C147" s="10" t="s">
        <v>725</v>
      </c>
      <c r="D147" s="10" t="s">
        <v>302</v>
      </c>
      <c r="E147" s="10" t="s">
        <v>1048</v>
      </c>
      <c r="F147" s="10" t="s">
        <v>441</v>
      </c>
      <c r="G147" s="10" t="s">
        <v>957</v>
      </c>
      <c r="H147" s="10" t="s">
        <v>1049</v>
      </c>
      <c r="I147" s="10" t="s">
        <v>44</v>
      </c>
      <c r="J147" s="10" t="s">
        <v>1050</v>
      </c>
      <c r="K147" s="10" t="s">
        <v>296</v>
      </c>
      <c r="L147" s="10" t="s">
        <v>1025</v>
      </c>
      <c r="M147" s="10" t="s">
        <v>994</v>
      </c>
    </row>
    <row r="148" customFormat="false" ht="46.25" hidden="false" customHeight="false" outlineLevel="0" collapsed="false">
      <c r="A148" s="10" t="s">
        <v>949</v>
      </c>
      <c r="B148" s="10" t="s">
        <v>1022</v>
      </c>
      <c r="C148" s="10" t="s">
        <v>695</v>
      </c>
      <c r="D148" s="10" t="s">
        <v>302</v>
      </c>
      <c r="E148" s="10" t="s">
        <v>1051</v>
      </c>
      <c r="F148" s="10" t="s">
        <v>441</v>
      </c>
      <c r="G148" s="10" t="s">
        <v>957</v>
      </c>
      <c r="H148" s="10" t="s">
        <v>1052</v>
      </c>
      <c r="I148" s="10" t="s">
        <v>44</v>
      </c>
      <c r="J148" s="10" t="s">
        <v>1053</v>
      </c>
      <c r="K148" s="10" t="s">
        <v>296</v>
      </c>
      <c r="L148" s="10" t="s">
        <v>1025</v>
      </c>
      <c r="M148" s="10" t="s">
        <v>998</v>
      </c>
    </row>
    <row r="149" customFormat="false" ht="35.05" hidden="false" customHeight="false" outlineLevel="0" collapsed="false">
      <c r="A149" s="10" t="s">
        <v>76</v>
      </c>
      <c r="B149" s="10" t="s">
        <v>1022</v>
      </c>
      <c r="C149" s="10" t="s">
        <v>732</v>
      </c>
      <c r="D149" s="10" t="s">
        <v>302</v>
      </c>
      <c r="E149" s="10" t="s">
        <v>1054</v>
      </c>
      <c r="F149" s="10" t="s">
        <v>441</v>
      </c>
      <c r="G149" s="10" t="s">
        <v>957</v>
      </c>
      <c r="H149" s="10" t="s">
        <v>1055</v>
      </c>
      <c r="I149" s="10" t="s">
        <v>44</v>
      </c>
      <c r="J149" s="10" t="s">
        <v>1056</v>
      </c>
      <c r="K149" s="10" t="s">
        <v>296</v>
      </c>
      <c r="L149" s="10" t="s">
        <v>1025</v>
      </c>
      <c r="M149" s="10" t="s">
        <v>1002</v>
      </c>
    </row>
    <row r="150" customFormat="false" ht="23.85" hidden="false" customHeight="false" outlineLevel="0" collapsed="false">
      <c r="A150" s="10" t="s">
        <v>76</v>
      </c>
      <c r="B150" s="10" t="s">
        <v>1022</v>
      </c>
      <c r="C150" s="10" t="s">
        <v>738</v>
      </c>
      <c r="D150" s="10" t="s">
        <v>302</v>
      </c>
      <c r="E150" s="10" t="s">
        <v>1057</v>
      </c>
      <c r="F150" s="10" t="s">
        <v>441</v>
      </c>
      <c r="G150" s="10" t="s">
        <v>957</v>
      </c>
      <c r="H150" s="10" t="s">
        <v>1058</v>
      </c>
      <c r="I150" s="10" t="s">
        <v>44</v>
      </c>
      <c r="J150" s="10" t="s">
        <v>1059</v>
      </c>
      <c r="K150" s="10" t="s">
        <v>296</v>
      </c>
      <c r="L150" s="10" t="s">
        <v>1025</v>
      </c>
      <c r="M150" s="10" t="s">
        <v>1006</v>
      </c>
    </row>
    <row r="151" customFormat="false" ht="23.85" hidden="false" customHeight="false" outlineLevel="0" collapsed="false">
      <c r="A151" s="10" t="s">
        <v>76</v>
      </c>
      <c r="B151" s="10" t="s">
        <v>1022</v>
      </c>
      <c r="C151" s="10" t="s">
        <v>674</v>
      </c>
      <c r="D151" s="10" t="s">
        <v>302</v>
      </c>
      <c r="E151" s="10" t="s">
        <v>1060</v>
      </c>
      <c r="F151" s="10" t="s">
        <v>441</v>
      </c>
      <c r="G151" s="10" t="s">
        <v>957</v>
      </c>
      <c r="H151" s="10" t="s">
        <v>1061</v>
      </c>
      <c r="I151" s="10" t="s">
        <v>44</v>
      </c>
      <c r="J151" s="10" t="s">
        <v>1062</v>
      </c>
      <c r="K151" s="10" t="s">
        <v>296</v>
      </c>
      <c r="L151" s="10" t="s">
        <v>1025</v>
      </c>
      <c r="M151" s="10" t="s">
        <v>1010</v>
      </c>
    </row>
    <row r="152" customFormat="false" ht="23.85" hidden="false" customHeight="false" outlineLevel="0" collapsed="false">
      <c r="A152" s="10" t="s">
        <v>803</v>
      </c>
      <c r="B152" s="10" t="s">
        <v>1022</v>
      </c>
      <c r="C152" s="10" t="s">
        <v>804</v>
      </c>
      <c r="D152" s="10" t="s">
        <v>302</v>
      </c>
      <c r="E152" s="10" t="s">
        <v>1063</v>
      </c>
      <c r="F152" s="10" t="s">
        <v>441</v>
      </c>
      <c r="G152" s="10" t="s">
        <v>957</v>
      </c>
      <c r="H152" s="10" t="s">
        <v>1064</v>
      </c>
      <c r="I152" s="10" t="s">
        <v>44</v>
      </c>
      <c r="J152" s="10" t="s">
        <v>1065</v>
      </c>
      <c r="K152" s="10" t="s">
        <v>296</v>
      </c>
      <c r="L152" s="10" t="s">
        <v>1025</v>
      </c>
      <c r="M152" s="10" t="s">
        <v>1014</v>
      </c>
    </row>
    <row r="153" customFormat="false" ht="23.85" hidden="false" customHeight="false" outlineLevel="0" collapsed="false">
      <c r="A153" s="10" t="s">
        <v>796</v>
      </c>
      <c r="B153" s="10" t="s">
        <v>1022</v>
      </c>
      <c r="C153" s="10" t="s">
        <v>797</v>
      </c>
      <c r="D153" s="10" t="s">
        <v>302</v>
      </c>
      <c r="E153" s="10" t="s">
        <v>1066</v>
      </c>
      <c r="F153" s="10" t="s">
        <v>441</v>
      </c>
      <c r="G153" s="10" t="s">
        <v>957</v>
      </c>
      <c r="H153" s="10" t="s">
        <v>1067</v>
      </c>
      <c r="I153" s="10" t="s">
        <v>44</v>
      </c>
      <c r="J153" s="10" t="s">
        <v>1068</v>
      </c>
      <c r="K153" s="10" t="s">
        <v>296</v>
      </c>
      <c r="L153" s="10" t="s">
        <v>1025</v>
      </c>
      <c r="M153" s="10" t="s">
        <v>1018</v>
      </c>
    </row>
    <row r="154" customFormat="false" ht="23.85" hidden="false" customHeight="false" outlineLevel="0" collapsed="false">
      <c r="A154" s="10" t="s">
        <v>819</v>
      </c>
      <c r="B154" s="10" t="s">
        <v>1022</v>
      </c>
      <c r="C154" s="10" t="s">
        <v>820</v>
      </c>
      <c r="D154" s="10" t="s">
        <v>302</v>
      </c>
      <c r="E154" s="10" t="s">
        <v>1069</v>
      </c>
      <c r="F154" s="10" t="s">
        <v>441</v>
      </c>
      <c r="G154" s="10" t="s">
        <v>957</v>
      </c>
      <c r="H154" s="10" t="s">
        <v>1070</v>
      </c>
      <c r="I154" s="10" t="s">
        <v>44</v>
      </c>
      <c r="J154" s="10" t="s">
        <v>1068</v>
      </c>
      <c r="K154" s="10" t="s">
        <v>296</v>
      </c>
      <c r="L154" s="10" t="s">
        <v>1025</v>
      </c>
      <c r="M154" s="10" t="s">
        <v>1021</v>
      </c>
    </row>
    <row r="155" customFormat="false" ht="23.85" hidden="false" customHeight="false" outlineLevel="0" collapsed="false">
      <c r="A155" s="10" t="s">
        <v>949</v>
      </c>
      <c r="B155" s="10" t="s">
        <v>1071</v>
      </c>
      <c r="C155" s="10" t="s">
        <v>1072</v>
      </c>
      <c r="D155" s="10" t="s">
        <v>302</v>
      </c>
      <c r="E155" s="10" t="s">
        <v>1073</v>
      </c>
      <c r="F155" s="10" t="s">
        <v>356</v>
      </c>
      <c r="G155" s="10" t="s">
        <v>213</v>
      </c>
      <c r="H155" s="10" t="s">
        <v>660</v>
      </c>
      <c r="I155" s="10" t="s">
        <v>44</v>
      </c>
      <c r="J155" s="10" t="s">
        <v>1074</v>
      </c>
      <c r="K155" s="10" t="s">
        <v>296</v>
      </c>
      <c r="L155" s="10" t="s">
        <v>954</v>
      </c>
      <c r="M155" s="10" t="s">
        <v>1075</v>
      </c>
    </row>
    <row r="156" customFormat="false" ht="23.85" hidden="false" customHeight="false" outlineLevel="0" collapsed="false">
      <c r="A156" s="10" t="s">
        <v>949</v>
      </c>
      <c r="B156" s="10" t="s">
        <v>1071</v>
      </c>
      <c r="C156" s="10" t="s">
        <v>1076</v>
      </c>
      <c r="D156" s="10" t="s">
        <v>302</v>
      </c>
      <c r="E156" s="10" t="s">
        <v>1077</v>
      </c>
      <c r="F156" s="10" t="s">
        <v>356</v>
      </c>
      <c r="G156" s="10" t="s">
        <v>213</v>
      </c>
      <c r="H156" s="10" t="s">
        <v>797</v>
      </c>
      <c r="I156" s="10" t="s">
        <v>44</v>
      </c>
      <c r="J156" s="10" t="s">
        <v>1074</v>
      </c>
      <c r="K156" s="10" t="s">
        <v>296</v>
      </c>
      <c r="L156" s="10" t="s">
        <v>954</v>
      </c>
      <c r="M156" s="10" t="s">
        <v>1075</v>
      </c>
    </row>
    <row r="157" customFormat="false" ht="23.85" hidden="false" customHeight="false" outlineLevel="0" collapsed="false">
      <c r="A157" s="10" t="s">
        <v>949</v>
      </c>
      <c r="B157" s="10" t="s">
        <v>1071</v>
      </c>
      <c r="C157" s="10" t="s">
        <v>1078</v>
      </c>
      <c r="D157" s="10" t="s">
        <v>302</v>
      </c>
      <c r="E157" s="10" t="s">
        <v>1079</v>
      </c>
      <c r="F157" s="10" t="s">
        <v>356</v>
      </c>
      <c r="G157" s="10" t="s">
        <v>213</v>
      </c>
      <c r="H157" s="10" t="s">
        <v>1080</v>
      </c>
      <c r="I157" s="10" t="s">
        <v>44</v>
      </c>
      <c r="J157" s="10" t="s">
        <v>1074</v>
      </c>
      <c r="K157" s="10" t="s">
        <v>296</v>
      </c>
      <c r="L157" s="10" t="s">
        <v>1081</v>
      </c>
      <c r="M157" s="10" t="s">
        <v>1082</v>
      </c>
    </row>
    <row r="158" customFormat="false" ht="23.85" hidden="false" customHeight="false" outlineLevel="0" collapsed="false">
      <c r="A158" s="10" t="s">
        <v>949</v>
      </c>
      <c r="B158" s="10" t="s">
        <v>1071</v>
      </c>
      <c r="C158" s="10" t="s">
        <v>1083</v>
      </c>
      <c r="D158" s="10" t="s">
        <v>302</v>
      </c>
      <c r="E158" s="10" t="s">
        <v>1084</v>
      </c>
      <c r="F158" s="10" t="s">
        <v>356</v>
      </c>
      <c r="G158" s="10" t="s">
        <v>213</v>
      </c>
      <c r="H158" s="10" t="s">
        <v>1085</v>
      </c>
      <c r="I158" s="10" t="s">
        <v>44</v>
      </c>
      <c r="J158" s="10" t="s">
        <v>1074</v>
      </c>
      <c r="K158" s="10" t="s">
        <v>296</v>
      </c>
      <c r="L158" s="10" t="s">
        <v>1081</v>
      </c>
      <c r="M158" s="10" t="s">
        <v>1082</v>
      </c>
    </row>
    <row r="159" customFormat="false" ht="23.85" hidden="false" customHeight="false" outlineLevel="0" collapsed="false">
      <c r="A159" s="10" t="s">
        <v>949</v>
      </c>
      <c r="B159" s="10" t="s">
        <v>1071</v>
      </c>
      <c r="C159" s="10" t="s">
        <v>1086</v>
      </c>
      <c r="D159" s="10" t="s">
        <v>302</v>
      </c>
      <c r="E159" s="10" t="s">
        <v>1087</v>
      </c>
      <c r="F159" s="10" t="s">
        <v>441</v>
      </c>
      <c r="G159" s="10" t="s">
        <v>957</v>
      </c>
      <c r="H159" s="10" t="s">
        <v>1016</v>
      </c>
      <c r="I159" s="10" t="s">
        <v>44</v>
      </c>
      <c r="J159" s="10" t="s">
        <v>1088</v>
      </c>
      <c r="K159" s="10" t="s">
        <v>296</v>
      </c>
      <c r="L159" s="10" t="s">
        <v>1089</v>
      </c>
      <c r="M159" s="10" t="s">
        <v>1090</v>
      </c>
    </row>
    <row r="160" customFormat="false" ht="23.85" hidden="false" customHeight="false" outlineLevel="0" collapsed="false">
      <c r="A160" s="10" t="s">
        <v>949</v>
      </c>
      <c r="B160" s="10" t="s">
        <v>1071</v>
      </c>
      <c r="C160" s="10" t="s">
        <v>1091</v>
      </c>
      <c r="D160" s="10" t="s">
        <v>302</v>
      </c>
      <c r="E160" s="10" t="s">
        <v>1092</v>
      </c>
      <c r="F160" s="10" t="s">
        <v>441</v>
      </c>
      <c r="G160" s="10" t="s">
        <v>1093</v>
      </c>
      <c r="H160" s="10" t="s">
        <v>312</v>
      </c>
      <c r="I160" s="10" t="s">
        <v>44</v>
      </c>
      <c r="J160" s="10" t="s">
        <v>1094</v>
      </c>
      <c r="K160" s="10" t="s">
        <v>296</v>
      </c>
      <c r="L160" s="10" t="s">
        <v>1095</v>
      </c>
      <c r="M160" s="10" t="s">
        <v>1096</v>
      </c>
    </row>
    <row r="161" customFormat="false" ht="23.85" hidden="false" customHeight="false" outlineLevel="0" collapsed="false">
      <c r="A161" s="10" t="s">
        <v>949</v>
      </c>
      <c r="B161" s="10" t="s">
        <v>1071</v>
      </c>
      <c r="C161" s="10" t="s">
        <v>1097</v>
      </c>
      <c r="D161" s="10" t="s">
        <v>302</v>
      </c>
      <c r="E161" s="10" t="s">
        <v>1098</v>
      </c>
      <c r="F161" s="10" t="s">
        <v>441</v>
      </c>
      <c r="G161" s="10" t="s">
        <v>957</v>
      </c>
      <c r="H161" s="10" t="s">
        <v>1067</v>
      </c>
      <c r="I161" s="10" t="s">
        <v>44</v>
      </c>
      <c r="J161" s="10" t="s">
        <v>1099</v>
      </c>
      <c r="K161" s="10" t="s">
        <v>296</v>
      </c>
      <c r="L161" s="10" t="s">
        <v>1100</v>
      </c>
      <c r="M161" s="10" t="s">
        <v>1101</v>
      </c>
    </row>
    <row r="162" customFormat="false" ht="23.85" hidden="false" customHeight="false" outlineLevel="0" collapsed="false">
      <c r="A162" s="10" t="s">
        <v>949</v>
      </c>
      <c r="B162" s="10" t="s">
        <v>1071</v>
      </c>
      <c r="C162" s="10" t="s">
        <v>1102</v>
      </c>
      <c r="D162" s="10" t="s">
        <v>302</v>
      </c>
      <c r="E162" s="10" t="s">
        <v>1103</v>
      </c>
      <c r="F162" s="10" t="s">
        <v>441</v>
      </c>
      <c r="G162" s="10" t="s">
        <v>1093</v>
      </c>
      <c r="H162" s="10" t="s">
        <v>312</v>
      </c>
      <c r="I162" s="10" t="s">
        <v>44</v>
      </c>
      <c r="J162" s="10" t="s">
        <v>1104</v>
      </c>
      <c r="K162" s="10" t="s">
        <v>296</v>
      </c>
      <c r="L162" s="10" t="s">
        <v>1100</v>
      </c>
      <c r="M162" s="10" t="s">
        <v>1105</v>
      </c>
    </row>
    <row r="163" customFormat="false" ht="23.85" hidden="false" customHeight="false" outlineLevel="0" collapsed="false">
      <c r="A163" s="10" t="s">
        <v>949</v>
      </c>
      <c r="B163" s="10" t="s">
        <v>1071</v>
      </c>
      <c r="C163" s="10" t="s">
        <v>1106</v>
      </c>
      <c r="D163" s="10" t="s">
        <v>302</v>
      </c>
      <c r="E163" s="10" t="s">
        <v>1107</v>
      </c>
      <c r="F163" s="10" t="s">
        <v>292</v>
      </c>
      <c r="G163" s="10" t="s">
        <v>1108</v>
      </c>
      <c r="H163" s="10" t="s">
        <v>1109</v>
      </c>
      <c r="I163" s="10" t="s">
        <v>44</v>
      </c>
      <c r="J163" s="10" t="s">
        <v>1110</v>
      </c>
      <c r="K163" s="10" t="s">
        <v>296</v>
      </c>
      <c r="L163" s="10" t="s">
        <v>1111</v>
      </c>
      <c r="M163" s="10" t="s">
        <v>1112</v>
      </c>
    </row>
    <row r="164" customFormat="false" ht="23.85" hidden="false" customHeight="false" outlineLevel="0" collapsed="false">
      <c r="A164" s="10" t="s">
        <v>949</v>
      </c>
      <c r="B164" s="10" t="s">
        <v>1071</v>
      </c>
      <c r="C164" s="10" t="s">
        <v>1113</v>
      </c>
      <c r="D164" s="10" t="s">
        <v>302</v>
      </c>
      <c r="E164" s="10" t="s">
        <v>1114</v>
      </c>
      <c r="F164" s="10" t="s">
        <v>1115</v>
      </c>
      <c r="G164" s="10" t="s">
        <v>1116</v>
      </c>
      <c r="H164" s="10" t="s">
        <v>1117</v>
      </c>
      <c r="I164" s="10" t="s">
        <v>44</v>
      </c>
      <c r="J164" s="10" t="s">
        <v>1118</v>
      </c>
      <c r="K164" s="10" t="s">
        <v>296</v>
      </c>
      <c r="L164" s="10" t="s">
        <v>1119</v>
      </c>
      <c r="M164" s="10" t="s">
        <v>1120</v>
      </c>
    </row>
    <row r="165" customFormat="false" ht="35.05" hidden="false" customHeight="false" outlineLevel="0" collapsed="false">
      <c r="A165" s="10" t="s">
        <v>36</v>
      </c>
      <c r="B165" s="10" t="s">
        <v>1121</v>
      </c>
      <c r="C165" s="10" t="s">
        <v>332</v>
      </c>
      <c r="D165" s="10" t="s">
        <v>333</v>
      </c>
      <c r="E165" s="10" t="s">
        <v>334</v>
      </c>
      <c r="F165" s="10" t="s">
        <v>304</v>
      </c>
      <c r="G165" s="10" t="s">
        <v>213</v>
      </c>
      <c r="H165" s="10" t="s">
        <v>467</v>
      </c>
      <c r="I165" s="10" t="s">
        <v>44</v>
      </c>
      <c r="J165" s="10" t="s">
        <v>337</v>
      </c>
      <c r="K165" s="10" t="s">
        <v>296</v>
      </c>
      <c r="L165" s="10" t="s">
        <v>338</v>
      </c>
      <c r="M165" s="10" t="s">
        <v>339</v>
      </c>
    </row>
    <row r="166" customFormat="false" ht="23.85" hidden="false" customHeight="false" outlineLevel="0" collapsed="false">
      <c r="A166" s="10" t="s">
        <v>36</v>
      </c>
      <c r="B166" s="10" t="s">
        <v>1121</v>
      </c>
      <c r="C166" s="10" t="s">
        <v>422</v>
      </c>
      <c r="D166" s="10" t="s">
        <v>423</v>
      </c>
      <c r="E166" s="10" t="s">
        <v>424</v>
      </c>
      <c r="F166" s="10" t="s">
        <v>356</v>
      </c>
      <c r="G166" s="10" t="s">
        <v>213</v>
      </c>
      <c r="H166" s="10" t="s">
        <v>469</v>
      </c>
      <c r="I166" s="10" t="s">
        <v>44</v>
      </c>
      <c r="J166" s="10" t="s">
        <v>337</v>
      </c>
      <c r="K166" s="10" t="s">
        <v>296</v>
      </c>
      <c r="L166" s="10" t="s">
        <v>426</v>
      </c>
      <c r="M166" s="10" t="s">
        <v>427</v>
      </c>
    </row>
    <row r="167" customFormat="false" ht="23.85" hidden="false" customHeight="false" outlineLevel="0" collapsed="false">
      <c r="A167" s="10" t="s">
        <v>84</v>
      </c>
      <c r="B167" s="10" t="s">
        <v>1121</v>
      </c>
      <c r="C167" s="10" t="s">
        <v>471</v>
      </c>
      <c r="D167" s="10" t="s">
        <v>472</v>
      </c>
      <c r="E167" s="10" t="s">
        <v>473</v>
      </c>
      <c r="F167" s="10" t="s">
        <v>356</v>
      </c>
      <c r="G167" s="10" t="s">
        <v>213</v>
      </c>
      <c r="H167" s="11" t="s">
        <v>474</v>
      </c>
      <c r="I167" s="10" t="s">
        <v>44</v>
      </c>
      <c r="J167" s="10" t="s">
        <v>337</v>
      </c>
      <c r="K167" s="10" t="s">
        <v>296</v>
      </c>
      <c r="L167" s="10" t="s">
        <v>1122</v>
      </c>
      <c r="M167" s="10" t="s">
        <v>476</v>
      </c>
    </row>
    <row r="168" customFormat="false" ht="23.85" hidden="false" customHeight="false" outlineLevel="0" collapsed="false">
      <c r="A168" s="10" t="s">
        <v>36</v>
      </c>
      <c r="B168" s="10" t="s">
        <v>1121</v>
      </c>
      <c r="C168" s="10" t="s">
        <v>428</v>
      </c>
      <c r="D168" s="10" t="s">
        <v>363</v>
      </c>
      <c r="E168" s="10" t="s">
        <v>429</v>
      </c>
      <c r="F168" s="10" t="s">
        <v>356</v>
      </c>
      <c r="G168" s="10" t="s">
        <v>213</v>
      </c>
      <c r="H168" s="10" t="s">
        <v>477</v>
      </c>
      <c r="I168" s="10" t="s">
        <v>44</v>
      </c>
      <c r="J168" s="10" t="s">
        <v>337</v>
      </c>
      <c r="K168" s="10" t="s">
        <v>296</v>
      </c>
      <c r="L168" s="10" t="s">
        <v>430</v>
      </c>
      <c r="M168" s="10" t="s">
        <v>431</v>
      </c>
    </row>
    <row r="169" customFormat="false" ht="35.05" hidden="false" customHeight="false" outlineLevel="0" collapsed="false">
      <c r="A169" s="10" t="s">
        <v>36</v>
      </c>
      <c r="B169" s="10" t="s">
        <v>1121</v>
      </c>
      <c r="C169" s="10" t="s">
        <v>432</v>
      </c>
      <c r="D169" s="10" t="s">
        <v>363</v>
      </c>
      <c r="E169" s="10" t="s">
        <v>433</v>
      </c>
      <c r="F169" s="10" t="s">
        <v>356</v>
      </c>
      <c r="G169" s="10" t="s">
        <v>213</v>
      </c>
      <c r="H169" s="10" t="s">
        <v>434</v>
      </c>
      <c r="I169" s="10" t="s">
        <v>44</v>
      </c>
      <c r="J169" s="10" t="s">
        <v>435</v>
      </c>
      <c r="K169" s="10" t="s">
        <v>296</v>
      </c>
      <c r="L169" s="10" t="s">
        <v>436</v>
      </c>
      <c r="M169" s="10" t="s">
        <v>437</v>
      </c>
    </row>
    <row r="170" customFormat="false" ht="23.85" hidden="false" customHeight="false" outlineLevel="0" collapsed="false">
      <c r="A170" s="10" t="s">
        <v>65</v>
      </c>
      <c r="B170" s="10" t="s">
        <v>1121</v>
      </c>
      <c r="C170" s="10" t="s">
        <v>480</v>
      </c>
      <c r="D170" s="10" t="s">
        <v>481</v>
      </c>
      <c r="E170" s="10" t="s">
        <v>482</v>
      </c>
      <c r="F170" s="10" t="s">
        <v>292</v>
      </c>
      <c r="G170" s="10" t="s">
        <v>483</v>
      </c>
      <c r="H170" s="10" t="s">
        <v>484</v>
      </c>
      <c r="I170" s="10" t="s">
        <v>44</v>
      </c>
      <c r="J170" s="10" t="s">
        <v>485</v>
      </c>
      <c r="K170" s="10" t="s">
        <v>296</v>
      </c>
      <c r="L170" s="10" t="s">
        <v>1123</v>
      </c>
      <c r="M170" s="10" t="s">
        <v>487</v>
      </c>
    </row>
    <row r="171" customFormat="false" ht="23.85" hidden="false" customHeight="false" outlineLevel="0" collapsed="false">
      <c r="A171" s="10" t="s">
        <v>65</v>
      </c>
      <c r="B171" s="10" t="s">
        <v>1121</v>
      </c>
      <c r="C171" s="10" t="s">
        <v>488</v>
      </c>
      <c r="D171" s="10" t="s">
        <v>489</v>
      </c>
      <c r="E171" s="10" t="s">
        <v>490</v>
      </c>
      <c r="F171" s="10" t="s">
        <v>292</v>
      </c>
      <c r="G171" s="10" t="s">
        <v>491</v>
      </c>
      <c r="H171" s="10" t="s">
        <v>492</v>
      </c>
      <c r="I171" s="10" t="s">
        <v>44</v>
      </c>
      <c r="J171" s="10" t="s">
        <v>493</v>
      </c>
      <c r="K171" s="10" t="s">
        <v>296</v>
      </c>
      <c r="L171" s="10" t="s">
        <v>414</v>
      </c>
      <c r="M171" s="10" t="s">
        <v>495</v>
      </c>
    </row>
    <row r="172" customFormat="false" ht="23.85" hidden="false" customHeight="false" outlineLevel="0" collapsed="false">
      <c r="A172" s="10" t="s">
        <v>65</v>
      </c>
      <c r="B172" s="10" t="s">
        <v>1121</v>
      </c>
      <c r="C172" s="10" t="s">
        <v>496</v>
      </c>
      <c r="D172" s="10" t="s">
        <v>497</v>
      </c>
      <c r="E172" s="10" t="s">
        <v>498</v>
      </c>
      <c r="F172" s="10" t="s">
        <v>441</v>
      </c>
      <c r="G172" s="10" t="s">
        <v>499</v>
      </c>
      <c r="H172" s="10" t="s">
        <v>500</v>
      </c>
      <c r="I172" s="10" t="s">
        <v>44</v>
      </c>
      <c r="J172" s="10" t="s">
        <v>501</v>
      </c>
      <c r="K172" s="10" t="s">
        <v>296</v>
      </c>
      <c r="L172" s="10" t="s">
        <v>414</v>
      </c>
      <c r="M172" s="10" t="s">
        <v>502</v>
      </c>
    </row>
    <row r="173" customFormat="false" ht="46.25" hidden="false" customHeight="false" outlineLevel="0" collapsed="false">
      <c r="A173" s="10" t="s">
        <v>65</v>
      </c>
      <c r="B173" s="10" t="s">
        <v>1121</v>
      </c>
      <c r="C173" s="10" t="s">
        <v>503</v>
      </c>
      <c r="D173" s="10" t="s">
        <v>504</v>
      </c>
      <c r="E173" s="10" t="s">
        <v>505</v>
      </c>
      <c r="F173" s="10" t="s">
        <v>441</v>
      </c>
      <c r="G173" s="10" t="s">
        <v>506</v>
      </c>
      <c r="H173" s="10" t="s">
        <v>507</v>
      </c>
      <c r="I173" s="10" t="s">
        <v>44</v>
      </c>
      <c r="J173" s="10" t="s">
        <v>508</v>
      </c>
      <c r="K173" s="10" t="s">
        <v>296</v>
      </c>
      <c r="L173" s="10" t="s">
        <v>1124</v>
      </c>
      <c r="M173" s="10" t="s">
        <v>510</v>
      </c>
    </row>
    <row r="174" customFormat="false" ht="23.85" hidden="false" customHeight="false" outlineLevel="0" collapsed="false">
      <c r="A174" s="10" t="s">
        <v>65</v>
      </c>
      <c r="B174" s="10" t="s">
        <v>1121</v>
      </c>
      <c r="C174" s="10" t="s">
        <v>511</v>
      </c>
      <c r="D174" s="10" t="s">
        <v>512</v>
      </c>
      <c r="E174" s="10" t="s">
        <v>513</v>
      </c>
      <c r="F174" s="10" t="s">
        <v>292</v>
      </c>
      <c r="G174" s="10" t="s">
        <v>514</v>
      </c>
      <c r="H174" s="10" t="s">
        <v>515</v>
      </c>
      <c r="I174" s="10" t="s">
        <v>44</v>
      </c>
      <c r="J174" s="10" t="s">
        <v>516</v>
      </c>
      <c r="K174" s="10" t="s">
        <v>296</v>
      </c>
      <c r="L174" s="10" t="s">
        <v>414</v>
      </c>
      <c r="M174" s="10" t="s">
        <v>517</v>
      </c>
    </row>
    <row r="175" customFormat="false" ht="23.85" hidden="false" customHeight="false" outlineLevel="0" collapsed="false">
      <c r="A175" s="10" t="s">
        <v>65</v>
      </c>
      <c r="B175" s="10" t="s">
        <v>1121</v>
      </c>
      <c r="C175" s="10" t="s">
        <v>518</v>
      </c>
      <c r="D175" s="10" t="s">
        <v>519</v>
      </c>
      <c r="E175" s="10" t="s">
        <v>520</v>
      </c>
      <c r="F175" s="10" t="s">
        <v>292</v>
      </c>
      <c r="G175" s="10" t="s">
        <v>483</v>
      </c>
      <c r="H175" s="10" t="s">
        <v>521</v>
      </c>
      <c r="I175" s="10" t="s">
        <v>44</v>
      </c>
      <c r="J175" s="10" t="s">
        <v>522</v>
      </c>
      <c r="K175" s="10" t="s">
        <v>296</v>
      </c>
      <c r="L175" s="10" t="s">
        <v>1125</v>
      </c>
      <c r="M175" s="10" t="s">
        <v>524</v>
      </c>
    </row>
    <row r="176" customFormat="false" ht="23.85" hidden="false" customHeight="false" outlineLevel="0" collapsed="false">
      <c r="A176" s="10" t="s">
        <v>65</v>
      </c>
      <c r="B176" s="10" t="s">
        <v>1121</v>
      </c>
      <c r="C176" s="10" t="s">
        <v>525</v>
      </c>
      <c r="D176" s="10" t="s">
        <v>526</v>
      </c>
      <c r="E176" s="10" t="s">
        <v>527</v>
      </c>
      <c r="F176" s="10" t="s">
        <v>292</v>
      </c>
      <c r="G176" s="10" t="s">
        <v>483</v>
      </c>
      <c r="H176" s="10" t="s">
        <v>528</v>
      </c>
      <c r="I176" s="10" t="s">
        <v>44</v>
      </c>
      <c r="J176" s="10" t="s">
        <v>529</v>
      </c>
      <c r="K176" s="10" t="s">
        <v>296</v>
      </c>
      <c r="L176" s="10" t="s">
        <v>414</v>
      </c>
      <c r="M176" s="10" t="s">
        <v>530</v>
      </c>
    </row>
    <row r="177" customFormat="false" ht="23.85" hidden="false" customHeight="false" outlineLevel="0" collapsed="false">
      <c r="A177" s="10" t="s">
        <v>65</v>
      </c>
      <c r="B177" s="10" t="s">
        <v>1121</v>
      </c>
      <c r="C177" s="10" t="s">
        <v>531</v>
      </c>
      <c r="D177" s="10" t="s">
        <v>532</v>
      </c>
      <c r="E177" s="10" t="s">
        <v>533</v>
      </c>
      <c r="F177" s="10" t="s">
        <v>292</v>
      </c>
      <c r="G177" s="10" t="s">
        <v>483</v>
      </c>
      <c r="H177" s="10" t="s">
        <v>534</v>
      </c>
      <c r="I177" s="10" t="s">
        <v>44</v>
      </c>
      <c r="J177" s="10" t="s">
        <v>535</v>
      </c>
      <c r="K177" s="10" t="s">
        <v>296</v>
      </c>
      <c r="L177" s="10" t="s">
        <v>414</v>
      </c>
      <c r="M177" s="10" t="s">
        <v>536</v>
      </c>
    </row>
    <row r="178" customFormat="false" ht="23.85" hidden="false" customHeight="false" outlineLevel="0" collapsed="false">
      <c r="A178" s="10" t="s">
        <v>65</v>
      </c>
      <c r="B178" s="10" t="s">
        <v>1121</v>
      </c>
      <c r="C178" s="10" t="s">
        <v>537</v>
      </c>
      <c r="D178" s="10" t="s">
        <v>538</v>
      </c>
      <c r="E178" s="10" t="s">
        <v>539</v>
      </c>
      <c r="F178" s="10" t="s">
        <v>292</v>
      </c>
      <c r="G178" s="10" t="s">
        <v>483</v>
      </c>
      <c r="H178" s="10" t="s">
        <v>540</v>
      </c>
      <c r="I178" s="10" t="s">
        <v>44</v>
      </c>
      <c r="J178" s="10" t="s">
        <v>541</v>
      </c>
      <c r="K178" s="10" t="s">
        <v>296</v>
      </c>
      <c r="L178" s="10" t="s">
        <v>414</v>
      </c>
      <c r="M178" s="10" t="s">
        <v>542</v>
      </c>
    </row>
    <row r="179" customFormat="false" ht="23.85" hidden="false" customHeight="false" outlineLevel="0" collapsed="false">
      <c r="A179" s="10" t="s">
        <v>65</v>
      </c>
      <c r="B179" s="10" t="s">
        <v>1121</v>
      </c>
      <c r="C179" s="10" t="s">
        <v>543</v>
      </c>
      <c r="D179" s="10" t="s">
        <v>544</v>
      </c>
      <c r="E179" s="10" t="s">
        <v>545</v>
      </c>
      <c r="F179" s="10" t="s">
        <v>292</v>
      </c>
      <c r="G179" s="10" t="s">
        <v>483</v>
      </c>
      <c r="H179" s="10" t="s">
        <v>546</v>
      </c>
      <c r="I179" s="10" t="s">
        <v>44</v>
      </c>
      <c r="J179" s="10" t="s">
        <v>547</v>
      </c>
      <c r="K179" s="10" t="s">
        <v>296</v>
      </c>
      <c r="L179" s="10" t="s">
        <v>414</v>
      </c>
      <c r="M179" s="10" t="s">
        <v>548</v>
      </c>
    </row>
    <row r="180" customFormat="false" ht="23.85" hidden="false" customHeight="false" outlineLevel="0" collapsed="false">
      <c r="A180" s="10" t="s">
        <v>65</v>
      </c>
      <c r="B180" s="10" t="s">
        <v>1121</v>
      </c>
      <c r="C180" s="10" t="s">
        <v>549</v>
      </c>
      <c r="D180" s="10" t="s">
        <v>302</v>
      </c>
      <c r="E180" s="10" t="s">
        <v>550</v>
      </c>
      <c r="F180" s="10" t="s">
        <v>441</v>
      </c>
      <c r="G180" s="10" t="s">
        <v>551</v>
      </c>
      <c r="H180" s="10" t="s">
        <v>552</v>
      </c>
      <c r="I180" s="10" t="s">
        <v>44</v>
      </c>
      <c r="J180" s="10" t="s">
        <v>553</v>
      </c>
      <c r="K180" s="10" t="s">
        <v>296</v>
      </c>
      <c r="L180" s="10" t="s">
        <v>1126</v>
      </c>
      <c r="M180" s="10" t="s">
        <v>555</v>
      </c>
    </row>
    <row r="181" customFormat="false" ht="23.85" hidden="false" customHeight="false" outlineLevel="0" collapsed="false">
      <c r="A181" s="10" t="s">
        <v>65</v>
      </c>
      <c r="B181" s="10" t="s">
        <v>1121</v>
      </c>
      <c r="C181" s="10" t="s">
        <v>556</v>
      </c>
      <c r="D181" s="10" t="s">
        <v>302</v>
      </c>
      <c r="E181" s="10" t="s">
        <v>557</v>
      </c>
      <c r="F181" s="10" t="s">
        <v>441</v>
      </c>
      <c r="G181" s="10" t="s">
        <v>551</v>
      </c>
      <c r="H181" s="10" t="s">
        <v>558</v>
      </c>
      <c r="I181" s="10" t="s">
        <v>44</v>
      </c>
      <c r="J181" s="10" t="s">
        <v>559</v>
      </c>
      <c r="K181" s="10" t="s">
        <v>296</v>
      </c>
      <c r="L181" s="10" t="s">
        <v>1127</v>
      </c>
      <c r="M181" s="10" t="s">
        <v>561</v>
      </c>
    </row>
    <row r="182" customFormat="false" ht="23.85" hidden="false" customHeight="false" outlineLevel="0" collapsed="false">
      <c r="A182" s="10" t="s">
        <v>65</v>
      </c>
      <c r="B182" s="10" t="s">
        <v>1121</v>
      </c>
      <c r="C182" s="10" t="s">
        <v>562</v>
      </c>
      <c r="D182" s="10" t="s">
        <v>302</v>
      </c>
      <c r="E182" s="10" t="s">
        <v>563</v>
      </c>
      <c r="F182" s="10" t="s">
        <v>441</v>
      </c>
      <c r="G182" s="10" t="s">
        <v>551</v>
      </c>
      <c r="H182" s="10" t="s">
        <v>564</v>
      </c>
      <c r="I182" s="10" t="s">
        <v>44</v>
      </c>
      <c r="J182" s="10" t="s">
        <v>565</v>
      </c>
      <c r="K182" s="10" t="s">
        <v>296</v>
      </c>
      <c r="L182" s="10" t="s">
        <v>1128</v>
      </c>
      <c r="M182" s="10" t="s">
        <v>567</v>
      </c>
    </row>
    <row r="183" customFormat="false" ht="23.85" hidden="false" customHeight="false" outlineLevel="0" collapsed="false">
      <c r="A183" s="10" t="s">
        <v>65</v>
      </c>
      <c r="B183" s="10" t="s">
        <v>1121</v>
      </c>
      <c r="C183" s="10" t="s">
        <v>568</v>
      </c>
      <c r="D183" s="10" t="s">
        <v>302</v>
      </c>
      <c r="E183" s="10" t="s">
        <v>569</v>
      </c>
      <c r="F183" s="10" t="s">
        <v>441</v>
      </c>
      <c r="G183" s="10" t="s">
        <v>551</v>
      </c>
      <c r="H183" s="10" t="s">
        <v>570</v>
      </c>
      <c r="I183" s="10" t="s">
        <v>44</v>
      </c>
      <c r="J183" s="10" t="s">
        <v>571</v>
      </c>
      <c r="K183" s="10" t="s">
        <v>296</v>
      </c>
      <c r="L183" s="10" t="s">
        <v>1129</v>
      </c>
      <c r="M183" s="10" t="s">
        <v>573</v>
      </c>
    </row>
    <row r="184" customFormat="false" ht="23.85" hidden="false" customHeight="false" outlineLevel="0" collapsed="false">
      <c r="A184" s="10" t="s">
        <v>65</v>
      </c>
      <c r="B184" s="10" t="s">
        <v>1121</v>
      </c>
      <c r="C184" s="10" t="s">
        <v>574</v>
      </c>
      <c r="D184" s="10" t="s">
        <v>302</v>
      </c>
      <c r="E184" s="10" t="s">
        <v>575</v>
      </c>
      <c r="F184" s="10" t="s">
        <v>441</v>
      </c>
      <c r="G184" s="10" t="s">
        <v>551</v>
      </c>
      <c r="H184" s="10" t="s">
        <v>576</v>
      </c>
      <c r="I184" s="10" t="s">
        <v>44</v>
      </c>
      <c r="J184" s="10" t="s">
        <v>577</v>
      </c>
      <c r="K184" s="10" t="s">
        <v>296</v>
      </c>
      <c r="L184" s="10" t="s">
        <v>1130</v>
      </c>
      <c r="M184" s="10" t="s">
        <v>510</v>
      </c>
    </row>
    <row r="185" customFormat="false" ht="23.85" hidden="false" customHeight="false" outlineLevel="0" collapsed="false">
      <c r="A185" s="10" t="s">
        <v>65</v>
      </c>
      <c r="B185" s="10" t="s">
        <v>1121</v>
      </c>
      <c r="C185" s="10" t="s">
        <v>579</v>
      </c>
      <c r="D185" s="10" t="s">
        <v>302</v>
      </c>
      <c r="E185" s="10" t="s">
        <v>580</v>
      </c>
      <c r="F185" s="10" t="s">
        <v>441</v>
      </c>
      <c r="G185" s="10" t="s">
        <v>581</v>
      </c>
      <c r="H185" s="10" t="s">
        <v>582</v>
      </c>
      <c r="I185" s="10" t="s">
        <v>44</v>
      </c>
      <c r="J185" s="10" t="s">
        <v>583</v>
      </c>
      <c r="K185" s="10" t="s">
        <v>296</v>
      </c>
      <c r="L185" s="10" t="s">
        <v>1131</v>
      </c>
      <c r="M185" s="10" t="s">
        <v>585</v>
      </c>
    </row>
    <row r="186" customFormat="false" ht="35.05" hidden="false" customHeight="false" outlineLevel="0" collapsed="false">
      <c r="A186" s="10" t="s">
        <v>65</v>
      </c>
      <c r="B186" s="10" t="s">
        <v>1121</v>
      </c>
      <c r="C186" s="10" t="s">
        <v>586</v>
      </c>
      <c r="D186" s="10" t="s">
        <v>587</v>
      </c>
      <c r="E186" s="10" t="s">
        <v>588</v>
      </c>
      <c r="F186" s="10" t="s">
        <v>292</v>
      </c>
      <c r="G186" s="10" t="s">
        <v>483</v>
      </c>
      <c r="H186" s="10" t="s">
        <v>589</v>
      </c>
      <c r="I186" s="10" t="s">
        <v>44</v>
      </c>
      <c r="J186" s="10" t="s">
        <v>590</v>
      </c>
      <c r="K186" s="10" t="s">
        <v>296</v>
      </c>
      <c r="L186" s="10" t="s">
        <v>1132</v>
      </c>
      <c r="M186" s="10" t="s">
        <v>592</v>
      </c>
    </row>
    <row r="187" customFormat="false" ht="23.85" hidden="false" customHeight="false" outlineLevel="0" collapsed="false">
      <c r="A187" s="10" t="s">
        <v>65</v>
      </c>
      <c r="B187" s="10" t="s">
        <v>1121</v>
      </c>
      <c r="C187" s="10" t="s">
        <v>593</v>
      </c>
      <c r="D187" s="10" t="s">
        <v>302</v>
      </c>
      <c r="E187" s="10" t="s">
        <v>594</v>
      </c>
      <c r="F187" s="10" t="s">
        <v>441</v>
      </c>
      <c r="G187" s="10" t="s">
        <v>551</v>
      </c>
      <c r="H187" s="10" t="s">
        <v>595</v>
      </c>
      <c r="I187" s="10" t="s">
        <v>44</v>
      </c>
      <c r="J187" s="10" t="s">
        <v>596</v>
      </c>
      <c r="K187" s="10" t="s">
        <v>296</v>
      </c>
      <c r="L187" s="10" t="s">
        <v>1133</v>
      </c>
      <c r="M187" s="10" t="s">
        <v>598</v>
      </c>
    </row>
    <row r="188" customFormat="false" ht="23.85" hidden="false" customHeight="false" outlineLevel="0" collapsed="false">
      <c r="A188" s="10" t="s">
        <v>65</v>
      </c>
      <c r="B188" s="10" t="s">
        <v>1121</v>
      </c>
      <c r="C188" s="10" t="s">
        <v>599</v>
      </c>
      <c r="D188" s="10" t="s">
        <v>600</v>
      </c>
      <c r="E188" s="10" t="s">
        <v>601</v>
      </c>
      <c r="F188" s="10" t="s">
        <v>292</v>
      </c>
      <c r="G188" s="10" t="s">
        <v>483</v>
      </c>
      <c r="H188" s="10" t="s">
        <v>602</v>
      </c>
      <c r="I188" s="10" t="s">
        <v>44</v>
      </c>
      <c r="J188" s="10" t="s">
        <v>603</v>
      </c>
      <c r="K188" s="10" t="s">
        <v>296</v>
      </c>
      <c r="L188" s="10" t="s">
        <v>414</v>
      </c>
      <c r="M188" s="10" t="s">
        <v>604</v>
      </c>
    </row>
    <row r="189" customFormat="false" ht="23.85" hidden="false" customHeight="false" outlineLevel="0" collapsed="false">
      <c r="A189" s="10" t="s">
        <v>65</v>
      </c>
      <c r="B189" s="10" t="s">
        <v>1121</v>
      </c>
      <c r="C189" s="10" t="s">
        <v>605</v>
      </c>
      <c r="D189" s="10" t="s">
        <v>302</v>
      </c>
      <c r="E189" s="10" t="s">
        <v>606</v>
      </c>
      <c r="F189" s="10" t="s">
        <v>441</v>
      </c>
      <c r="G189" s="10" t="s">
        <v>551</v>
      </c>
      <c r="H189" s="10" t="s">
        <v>607</v>
      </c>
      <c r="I189" s="10" t="s">
        <v>44</v>
      </c>
      <c r="J189" s="10" t="s">
        <v>608</v>
      </c>
      <c r="K189" s="10" t="s">
        <v>296</v>
      </c>
      <c r="L189" s="10" t="s">
        <v>1134</v>
      </c>
      <c r="M189" s="10" t="s">
        <v>610</v>
      </c>
    </row>
    <row r="190" customFormat="false" ht="23.85" hidden="false" customHeight="false" outlineLevel="0" collapsed="false">
      <c r="A190" s="10" t="s">
        <v>65</v>
      </c>
      <c r="B190" s="10" t="s">
        <v>1121</v>
      </c>
      <c r="C190" s="10" t="s">
        <v>611</v>
      </c>
      <c r="D190" s="10" t="s">
        <v>612</v>
      </c>
      <c r="E190" s="10" t="s">
        <v>613</v>
      </c>
      <c r="F190" s="10" t="s">
        <v>292</v>
      </c>
      <c r="G190" s="10" t="s">
        <v>483</v>
      </c>
      <c r="H190" s="10" t="s">
        <v>614</v>
      </c>
      <c r="I190" s="10" t="s">
        <v>44</v>
      </c>
      <c r="J190" s="10" t="s">
        <v>615</v>
      </c>
      <c r="K190" s="10" t="s">
        <v>296</v>
      </c>
      <c r="L190" s="10" t="s">
        <v>1135</v>
      </c>
      <c r="M190" s="10" t="s">
        <v>617</v>
      </c>
    </row>
    <row r="191" customFormat="false" ht="23.85" hidden="false" customHeight="false" outlineLevel="0" collapsed="false">
      <c r="A191" s="10" t="s">
        <v>65</v>
      </c>
      <c r="B191" s="10" t="s">
        <v>1121</v>
      </c>
      <c r="C191" s="10" t="s">
        <v>618</v>
      </c>
      <c r="D191" s="10" t="s">
        <v>619</v>
      </c>
      <c r="E191" s="10" t="s">
        <v>620</v>
      </c>
      <c r="F191" s="10" t="s">
        <v>292</v>
      </c>
      <c r="G191" s="10" t="s">
        <v>483</v>
      </c>
      <c r="H191" s="10" t="s">
        <v>312</v>
      </c>
      <c r="I191" s="10" t="s">
        <v>44</v>
      </c>
      <c r="J191" s="10" t="s">
        <v>621</v>
      </c>
      <c r="K191" s="10" t="s">
        <v>296</v>
      </c>
      <c r="L191" s="10" t="s">
        <v>1136</v>
      </c>
      <c r="M191" s="10" t="s">
        <v>623</v>
      </c>
    </row>
    <row r="192" customFormat="false" ht="23.85" hidden="false" customHeight="false" outlineLevel="0" collapsed="false">
      <c r="A192" s="10" t="s">
        <v>65</v>
      </c>
      <c r="B192" s="10" t="s">
        <v>1121</v>
      </c>
      <c r="C192" s="10" t="s">
        <v>624</v>
      </c>
      <c r="D192" s="10" t="s">
        <v>625</v>
      </c>
      <c r="E192" s="10" t="s">
        <v>626</v>
      </c>
      <c r="F192" s="10" t="s">
        <v>292</v>
      </c>
      <c r="G192" s="10" t="s">
        <v>483</v>
      </c>
      <c r="H192" s="10" t="s">
        <v>627</v>
      </c>
      <c r="I192" s="10" t="s">
        <v>44</v>
      </c>
      <c r="J192" s="10" t="s">
        <v>628</v>
      </c>
      <c r="K192" s="10" t="s">
        <v>296</v>
      </c>
      <c r="L192" s="10" t="s">
        <v>414</v>
      </c>
      <c r="M192" s="10" t="s">
        <v>629</v>
      </c>
    </row>
    <row r="193" customFormat="false" ht="23.85" hidden="false" customHeight="false" outlineLevel="0" collapsed="false">
      <c r="A193" s="10" t="s">
        <v>65</v>
      </c>
      <c r="B193" s="10" t="s">
        <v>1121</v>
      </c>
      <c r="C193" s="10" t="s">
        <v>630</v>
      </c>
      <c r="D193" s="10" t="s">
        <v>631</v>
      </c>
      <c r="E193" s="10" t="s">
        <v>632</v>
      </c>
      <c r="F193" s="10" t="s">
        <v>292</v>
      </c>
      <c r="G193" s="10" t="s">
        <v>483</v>
      </c>
      <c r="H193" s="10" t="s">
        <v>633</v>
      </c>
      <c r="I193" s="10" t="s">
        <v>44</v>
      </c>
      <c r="J193" s="10" t="s">
        <v>634</v>
      </c>
      <c r="K193" s="10" t="s">
        <v>296</v>
      </c>
      <c r="L193" s="10" t="s">
        <v>414</v>
      </c>
      <c r="M193" s="10" t="s">
        <v>635</v>
      </c>
    </row>
    <row r="194" customFormat="false" ht="23.85" hidden="false" customHeight="false" outlineLevel="0" collapsed="false">
      <c r="A194" s="10" t="s">
        <v>65</v>
      </c>
      <c r="B194" s="10" t="s">
        <v>1121</v>
      </c>
      <c r="C194" s="10" t="s">
        <v>636</v>
      </c>
      <c r="D194" s="10" t="s">
        <v>637</v>
      </c>
      <c r="E194" s="10" t="s">
        <v>638</v>
      </c>
      <c r="F194" s="10" t="s">
        <v>292</v>
      </c>
      <c r="G194" s="10" t="s">
        <v>483</v>
      </c>
      <c r="H194" s="10" t="s">
        <v>639</v>
      </c>
      <c r="I194" s="10" t="s">
        <v>44</v>
      </c>
      <c r="J194" s="10" t="s">
        <v>640</v>
      </c>
      <c r="K194" s="10" t="s">
        <v>296</v>
      </c>
      <c r="L194" s="10" t="s">
        <v>414</v>
      </c>
      <c r="M194" s="10" t="s">
        <v>641</v>
      </c>
    </row>
    <row r="195" customFormat="false" ht="23.85" hidden="false" customHeight="false" outlineLevel="0" collapsed="false">
      <c r="A195" s="10" t="s">
        <v>65</v>
      </c>
      <c r="B195" s="10" t="s">
        <v>1121</v>
      </c>
      <c r="C195" s="10" t="s">
        <v>642</v>
      </c>
      <c r="D195" s="10" t="s">
        <v>302</v>
      </c>
      <c r="E195" s="10" t="s">
        <v>643</v>
      </c>
      <c r="F195" s="10" t="s">
        <v>441</v>
      </c>
      <c r="G195" s="10" t="s">
        <v>551</v>
      </c>
      <c r="H195" s="10" t="s">
        <v>644</v>
      </c>
      <c r="I195" s="10" t="s">
        <v>44</v>
      </c>
      <c r="J195" s="10" t="s">
        <v>645</v>
      </c>
      <c r="K195" s="10" t="s">
        <v>296</v>
      </c>
      <c r="L195" s="10" t="s">
        <v>1137</v>
      </c>
      <c r="M195" s="10" t="s">
        <v>647</v>
      </c>
    </row>
    <row r="196" customFormat="false" ht="23.85" hidden="false" customHeight="false" outlineLevel="0" collapsed="false">
      <c r="A196" s="10" t="s">
        <v>65</v>
      </c>
      <c r="B196" s="10" t="s">
        <v>1121</v>
      </c>
      <c r="C196" s="10" t="s">
        <v>648</v>
      </c>
      <c r="D196" s="10" t="s">
        <v>302</v>
      </c>
      <c r="E196" s="10" t="s">
        <v>649</v>
      </c>
      <c r="F196" s="10" t="s">
        <v>441</v>
      </c>
      <c r="G196" s="10" t="s">
        <v>551</v>
      </c>
      <c r="H196" s="10" t="s">
        <v>312</v>
      </c>
      <c r="I196" s="10" t="s">
        <v>44</v>
      </c>
      <c r="J196" s="10" t="s">
        <v>650</v>
      </c>
      <c r="K196" s="10" t="s">
        <v>296</v>
      </c>
      <c r="L196" s="10" t="s">
        <v>1138</v>
      </c>
      <c r="M196" s="10" t="s">
        <v>652</v>
      </c>
    </row>
    <row r="197" customFormat="false" ht="23.85" hidden="false" customHeight="false" outlineLevel="0" collapsed="false">
      <c r="A197" s="10" t="s">
        <v>65</v>
      </c>
      <c r="B197" s="10" t="s">
        <v>1121</v>
      </c>
      <c r="C197" s="10" t="s">
        <v>653</v>
      </c>
      <c r="D197" s="10" t="s">
        <v>302</v>
      </c>
      <c r="E197" s="10" t="s">
        <v>654</v>
      </c>
      <c r="F197" s="10" t="s">
        <v>441</v>
      </c>
      <c r="G197" s="10" t="s">
        <v>551</v>
      </c>
      <c r="H197" s="10" t="s">
        <v>655</v>
      </c>
      <c r="I197" s="10" t="s">
        <v>44</v>
      </c>
      <c r="J197" s="10" t="s">
        <v>656</v>
      </c>
      <c r="K197" s="10" t="s">
        <v>296</v>
      </c>
      <c r="L197" s="10" t="s">
        <v>1139</v>
      </c>
      <c r="M197" s="10" t="s">
        <v>658</v>
      </c>
    </row>
    <row r="198" customFormat="false" ht="35.05" hidden="false" customHeight="false" outlineLevel="0" collapsed="false">
      <c r="A198" s="10" t="s">
        <v>659</v>
      </c>
      <c r="B198" s="10" t="s">
        <v>1121</v>
      </c>
      <c r="C198" s="10" t="s">
        <v>660</v>
      </c>
      <c r="D198" s="10" t="s">
        <v>302</v>
      </c>
      <c r="E198" s="10" t="s">
        <v>661</v>
      </c>
      <c r="F198" s="10" t="s">
        <v>441</v>
      </c>
      <c r="G198" s="10" t="s">
        <v>662</v>
      </c>
      <c r="H198" s="10" t="s">
        <v>663</v>
      </c>
      <c r="I198" s="10" t="s">
        <v>44</v>
      </c>
      <c r="J198" s="10" t="s">
        <v>664</v>
      </c>
      <c r="K198" s="10" t="s">
        <v>296</v>
      </c>
      <c r="L198" s="10" t="s">
        <v>1140</v>
      </c>
      <c r="M198" s="10" t="s">
        <v>666</v>
      </c>
    </row>
    <row r="199" customFormat="false" ht="23.85" hidden="false" customHeight="false" outlineLevel="0" collapsed="false">
      <c r="A199" s="10" t="s">
        <v>76</v>
      </c>
      <c r="B199" s="10" t="s">
        <v>1121</v>
      </c>
      <c r="C199" s="10" t="s">
        <v>667</v>
      </c>
      <c r="D199" s="10" t="s">
        <v>668</v>
      </c>
      <c r="E199" s="10" t="s">
        <v>669</v>
      </c>
      <c r="F199" s="10" t="s">
        <v>292</v>
      </c>
      <c r="G199" s="10" t="s">
        <v>483</v>
      </c>
      <c r="H199" s="10" t="s">
        <v>670</v>
      </c>
      <c r="I199" s="10" t="s">
        <v>44</v>
      </c>
      <c r="J199" s="10" t="s">
        <v>671</v>
      </c>
      <c r="K199" s="10" t="s">
        <v>296</v>
      </c>
      <c r="L199" s="10" t="s">
        <v>1141</v>
      </c>
      <c r="M199" s="10" t="s">
        <v>673</v>
      </c>
    </row>
    <row r="200" customFormat="false" ht="23.85" hidden="false" customHeight="false" outlineLevel="0" collapsed="false">
      <c r="A200" s="10" t="s">
        <v>76</v>
      </c>
      <c r="B200" s="10" t="s">
        <v>1121</v>
      </c>
      <c r="C200" s="10" t="s">
        <v>674</v>
      </c>
      <c r="D200" s="10" t="s">
        <v>675</v>
      </c>
      <c r="E200" s="10" t="s">
        <v>676</v>
      </c>
      <c r="F200" s="10" t="s">
        <v>441</v>
      </c>
      <c r="G200" s="10" t="s">
        <v>551</v>
      </c>
      <c r="H200" s="10" t="s">
        <v>677</v>
      </c>
      <c r="I200" s="10" t="s">
        <v>44</v>
      </c>
      <c r="J200" s="10" t="s">
        <v>678</v>
      </c>
      <c r="K200" s="10" t="s">
        <v>296</v>
      </c>
      <c r="L200" s="10" t="s">
        <v>1142</v>
      </c>
      <c r="M200" s="10" t="s">
        <v>680</v>
      </c>
    </row>
    <row r="201" customFormat="false" ht="35.05" hidden="false" customHeight="false" outlineLevel="0" collapsed="false">
      <c r="A201" s="10" t="s">
        <v>76</v>
      </c>
      <c r="B201" s="10" t="s">
        <v>1143</v>
      </c>
      <c r="C201" s="10" t="s">
        <v>1144</v>
      </c>
      <c r="D201" s="10" t="s">
        <v>1145</v>
      </c>
      <c r="E201" s="10" t="s">
        <v>1146</v>
      </c>
      <c r="F201" s="10" t="s">
        <v>292</v>
      </c>
      <c r="G201" s="10" t="s">
        <v>1147</v>
      </c>
      <c r="H201" s="10" t="s">
        <v>1148</v>
      </c>
      <c r="I201" s="10" t="s">
        <v>44</v>
      </c>
      <c r="J201" s="10" t="s">
        <v>1149</v>
      </c>
      <c r="K201" s="10" t="s">
        <v>296</v>
      </c>
      <c r="L201" s="10" t="s">
        <v>1150</v>
      </c>
      <c r="M201" s="10" t="s">
        <v>1151</v>
      </c>
    </row>
    <row r="202" customFormat="false" ht="35.05" hidden="false" customHeight="false" outlineLevel="0" collapsed="false">
      <c r="A202" s="10" t="s">
        <v>36</v>
      </c>
      <c r="B202" s="10" t="s">
        <v>1143</v>
      </c>
      <c r="C202" s="10" t="s">
        <v>332</v>
      </c>
      <c r="D202" s="10" t="s">
        <v>333</v>
      </c>
      <c r="E202" s="10" t="s">
        <v>334</v>
      </c>
      <c r="F202" s="10" t="s">
        <v>304</v>
      </c>
      <c r="G202" s="10" t="s">
        <v>213</v>
      </c>
      <c r="H202" s="10" t="s">
        <v>467</v>
      </c>
      <c r="I202" s="10" t="s">
        <v>44</v>
      </c>
      <c r="J202" s="10" t="s">
        <v>337</v>
      </c>
      <c r="K202" s="10" t="s">
        <v>296</v>
      </c>
      <c r="L202" s="10" t="s">
        <v>338</v>
      </c>
      <c r="M202" s="10" t="s">
        <v>339</v>
      </c>
    </row>
    <row r="203" customFormat="false" ht="35.05" hidden="false" customHeight="false" outlineLevel="0" collapsed="false">
      <c r="A203" s="10" t="s">
        <v>76</v>
      </c>
      <c r="B203" s="10" t="s">
        <v>1143</v>
      </c>
      <c r="C203" s="10" t="s">
        <v>1152</v>
      </c>
      <c r="D203" s="10" t="s">
        <v>1153</v>
      </c>
      <c r="E203" s="10" t="s">
        <v>1154</v>
      </c>
      <c r="F203" s="10" t="s">
        <v>292</v>
      </c>
      <c r="G203" s="10" t="s">
        <v>483</v>
      </c>
      <c r="H203" s="10" t="s">
        <v>1155</v>
      </c>
      <c r="I203" s="10" t="s">
        <v>44</v>
      </c>
      <c r="J203" s="10" t="s">
        <v>1156</v>
      </c>
      <c r="K203" s="10" t="s">
        <v>296</v>
      </c>
      <c r="L203" s="10" t="s">
        <v>1157</v>
      </c>
      <c r="M203" s="10" t="s">
        <v>1158</v>
      </c>
    </row>
    <row r="204" customFormat="false" ht="46.25" hidden="false" customHeight="false" outlineLevel="0" collapsed="false">
      <c r="A204" s="10" t="s">
        <v>76</v>
      </c>
      <c r="B204" s="10" t="s">
        <v>1143</v>
      </c>
      <c r="C204" s="10" t="s">
        <v>503</v>
      </c>
      <c r="D204" s="10" t="s">
        <v>504</v>
      </c>
      <c r="E204" s="10" t="s">
        <v>505</v>
      </c>
      <c r="F204" s="10" t="s">
        <v>292</v>
      </c>
      <c r="G204" s="10" t="s">
        <v>506</v>
      </c>
      <c r="H204" s="10" t="s">
        <v>1159</v>
      </c>
      <c r="I204" s="10" t="s">
        <v>44</v>
      </c>
      <c r="J204" s="10" t="s">
        <v>1160</v>
      </c>
      <c r="K204" s="10" t="s">
        <v>296</v>
      </c>
      <c r="L204" s="10" t="s">
        <v>1124</v>
      </c>
      <c r="M204" s="10" t="s">
        <v>510</v>
      </c>
    </row>
    <row r="205" customFormat="false" ht="35.05" hidden="false" customHeight="false" outlineLevel="0" collapsed="false">
      <c r="A205" s="10" t="s">
        <v>36</v>
      </c>
      <c r="B205" s="10" t="s">
        <v>1161</v>
      </c>
      <c r="C205" s="10" t="s">
        <v>332</v>
      </c>
      <c r="D205" s="10" t="s">
        <v>333</v>
      </c>
      <c r="E205" s="10" t="s">
        <v>334</v>
      </c>
      <c r="F205" s="10" t="s">
        <v>304</v>
      </c>
      <c r="G205" s="10" t="s">
        <v>213</v>
      </c>
      <c r="H205" s="10" t="s">
        <v>467</v>
      </c>
      <c r="I205" s="10" t="s">
        <v>44</v>
      </c>
      <c r="J205" s="10" t="s">
        <v>337</v>
      </c>
      <c r="K205" s="10" t="s">
        <v>296</v>
      </c>
      <c r="L205" s="10" t="s">
        <v>338</v>
      </c>
      <c r="M205" s="10" t="s">
        <v>339</v>
      </c>
    </row>
    <row r="206" customFormat="false" ht="23.85" hidden="false" customHeight="false" outlineLevel="0" collapsed="false">
      <c r="A206" s="10" t="s">
        <v>36</v>
      </c>
      <c r="B206" s="10" t="s">
        <v>1161</v>
      </c>
      <c r="C206" s="10" t="s">
        <v>422</v>
      </c>
      <c r="D206" s="10" t="s">
        <v>423</v>
      </c>
      <c r="E206" s="10" t="s">
        <v>424</v>
      </c>
      <c r="F206" s="10" t="s">
        <v>356</v>
      </c>
      <c r="G206" s="10" t="s">
        <v>213</v>
      </c>
      <c r="H206" s="10" t="s">
        <v>469</v>
      </c>
      <c r="I206" s="10" t="s">
        <v>44</v>
      </c>
      <c r="J206" s="10" t="s">
        <v>337</v>
      </c>
      <c r="K206" s="10" t="s">
        <v>296</v>
      </c>
      <c r="L206" s="10" t="s">
        <v>426</v>
      </c>
      <c r="M206" s="10" t="s">
        <v>427</v>
      </c>
    </row>
    <row r="207" customFormat="false" ht="23.85" hidden="false" customHeight="false" outlineLevel="0" collapsed="false">
      <c r="A207" s="10" t="s">
        <v>84</v>
      </c>
      <c r="B207" s="10" t="s">
        <v>1161</v>
      </c>
      <c r="C207" s="10" t="s">
        <v>471</v>
      </c>
      <c r="D207" s="10" t="s">
        <v>472</v>
      </c>
      <c r="E207" s="10" t="s">
        <v>473</v>
      </c>
      <c r="F207" s="10" t="s">
        <v>356</v>
      </c>
      <c r="G207" s="10" t="s">
        <v>213</v>
      </c>
      <c r="H207" s="11" t="s">
        <v>474</v>
      </c>
      <c r="I207" s="10" t="s">
        <v>44</v>
      </c>
      <c r="J207" s="10" t="s">
        <v>337</v>
      </c>
      <c r="K207" s="10" t="s">
        <v>296</v>
      </c>
      <c r="L207" s="10" t="s">
        <v>1122</v>
      </c>
      <c r="M207" s="10" t="s">
        <v>476</v>
      </c>
    </row>
    <row r="208" customFormat="false" ht="23.85" hidden="false" customHeight="false" outlineLevel="0" collapsed="false">
      <c r="A208" s="10" t="s">
        <v>36</v>
      </c>
      <c r="B208" s="10" t="s">
        <v>1161</v>
      </c>
      <c r="C208" s="10" t="s">
        <v>428</v>
      </c>
      <c r="D208" s="10" t="s">
        <v>363</v>
      </c>
      <c r="E208" s="10" t="s">
        <v>429</v>
      </c>
      <c r="F208" s="10" t="s">
        <v>356</v>
      </c>
      <c r="G208" s="10" t="s">
        <v>213</v>
      </c>
      <c r="H208" s="10" t="s">
        <v>477</v>
      </c>
      <c r="I208" s="10" t="s">
        <v>44</v>
      </c>
      <c r="J208" s="10" t="s">
        <v>337</v>
      </c>
      <c r="K208" s="10" t="s">
        <v>296</v>
      </c>
      <c r="L208" s="10" t="s">
        <v>430</v>
      </c>
      <c r="M208" s="10" t="s">
        <v>431</v>
      </c>
    </row>
    <row r="209" customFormat="false" ht="35.05" hidden="false" customHeight="false" outlineLevel="0" collapsed="false">
      <c r="A209" s="10" t="s">
        <v>36</v>
      </c>
      <c r="B209" s="10" t="s">
        <v>1161</v>
      </c>
      <c r="C209" s="10" t="s">
        <v>432</v>
      </c>
      <c r="D209" s="10" t="s">
        <v>363</v>
      </c>
      <c r="E209" s="10" t="s">
        <v>433</v>
      </c>
      <c r="F209" s="10" t="s">
        <v>356</v>
      </c>
      <c r="G209" s="10" t="s">
        <v>213</v>
      </c>
      <c r="H209" s="10" t="s">
        <v>434</v>
      </c>
      <c r="I209" s="10" t="s">
        <v>44</v>
      </c>
      <c r="J209" s="10" t="s">
        <v>435</v>
      </c>
      <c r="K209" s="10" t="s">
        <v>296</v>
      </c>
      <c r="L209" s="10" t="s">
        <v>436</v>
      </c>
      <c r="M209" s="10" t="s">
        <v>437</v>
      </c>
    </row>
    <row r="210" customFormat="false" ht="23.85" hidden="false" customHeight="false" outlineLevel="0" collapsed="false">
      <c r="A210" s="10" t="s">
        <v>65</v>
      </c>
      <c r="B210" s="10" t="s">
        <v>1161</v>
      </c>
      <c r="C210" s="10" t="s">
        <v>681</v>
      </c>
      <c r="D210" s="10" t="s">
        <v>682</v>
      </c>
      <c r="E210" s="10" t="s">
        <v>683</v>
      </c>
      <c r="F210" s="10" t="s">
        <v>292</v>
      </c>
      <c r="G210" s="10" t="s">
        <v>684</v>
      </c>
      <c r="H210" s="10" t="s">
        <v>685</v>
      </c>
      <c r="I210" s="10" t="s">
        <v>44</v>
      </c>
      <c r="J210" s="10" t="s">
        <v>686</v>
      </c>
      <c r="K210" s="10" t="s">
        <v>296</v>
      </c>
      <c r="L210" s="10" t="s">
        <v>414</v>
      </c>
      <c r="M210" s="10" t="s">
        <v>688</v>
      </c>
    </row>
    <row r="211" customFormat="false" ht="35.05" hidden="false" customHeight="false" outlineLevel="0" collapsed="false">
      <c r="A211" s="10" t="s">
        <v>65</v>
      </c>
      <c r="B211" s="10" t="s">
        <v>1161</v>
      </c>
      <c r="C211" s="10" t="s">
        <v>689</v>
      </c>
      <c r="D211" s="10" t="s">
        <v>690</v>
      </c>
      <c r="E211" s="10" t="s">
        <v>691</v>
      </c>
      <c r="F211" s="10" t="s">
        <v>292</v>
      </c>
      <c r="G211" s="10" t="s">
        <v>684</v>
      </c>
      <c r="H211" s="10" t="s">
        <v>692</v>
      </c>
      <c r="I211" s="10" t="s">
        <v>44</v>
      </c>
      <c r="J211" s="10" t="s">
        <v>693</v>
      </c>
      <c r="K211" s="10" t="s">
        <v>296</v>
      </c>
      <c r="L211" s="10" t="s">
        <v>414</v>
      </c>
      <c r="M211" s="10" t="s">
        <v>694</v>
      </c>
    </row>
    <row r="212" customFormat="false" ht="23.85" hidden="false" customHeight="false" outlineLevel="0" collapsed="false">
      <c r="A212" s="10" t="s">
        <v>65</v>
      </c>
      <c r="B212" s="10" t="s">
        <v>1161</v>
      </c>
      <c r="C212" s="10" t="s">
        <v>695</v>
      </c>
      <c r="D212" s="10" t="s">
        <v>696</v>
      </c>
      <c r="E212" s="10" t="s">
        <v>697</v>
      </c>
      <c r="F212" s="10" t="s">
        <v>292</v>
      </c>
      <c r="G212" s="10" t="s">
        <v>684</v>
      </c>
      <c r="H212" s="10" t="s">
        <v>698</v>
      </c>
      <c r="I212" s="10" t="s">
        <v>44</v>
      </c>
      <c r="J212" s="10" t="s">
        <v>699</v>
      </c>
      <c r="K212" s="10" t="s">
        <v>296</v>
      </c>
      <c r="L212" s="10" t="s">
        <v>414</v>
      </c>
      <c r="M212" s="10" t="s">
        <v>700</v>
      </c>
    </row>
    <row r="213" customFormat="false" ht="23.85" hidden="false" customHeight="false" outlineLevel="0" collapsed="false">
      <c r="A213" s="10" t="s">
        <v>65</v>
      </c>
      <c r="B213" s="10" t="s">
        <v>1161</v>
      </c>
      <c r="C213" s="10" t="s">
        <v>701</v>
      </c>
      <c r="D213" s="10" t="s">
        <v>702</v>
      </c>
      <c r="E213" s="10" t="s">
        <v>703</v>
      </c>
      <c r="F213" s="10" t="s">
        <v>441</v>
      </c>
      <c r="G213" s="10" t="s">
        <v>551</v>
      </c>
      <c r="H213" s="10" t="s">
        <v>704</v>
      </c>
      <c r="I213" s="10" t="s">
        <v>44</v>
      </c>
      <c r="J213" s="10" t="s">
        <v>705</v>
      </c>
      <c r="K213" s="10" t="s">
        <v>296</v>
      </c>
      <c r="L213" s="10" t="s">
        <v>414</v>
      </c>
      <c r="M213" s="10" t="s">
        <v>706</v>
      </c>
    </row>
    <row r="214" customFormat="false" ht="23.85" hidden="false" customHeight="false" outlineLevel="0" collapsed="false">
      <c r="A214" s="10" t="s">
        <v>65</v>
      </c>
      <c r="B214" s="10" t="s">
        <v>1161</v>
      </c>
      <c r="C214" s="10" t="s">
        <v>707</v>
      </c>
      <c r="D214" s="10" t="s">
        <v>708</v>
      </c>
      <c r="E214" s="10" t="s">
        <v>709</v>
      </c>
      <c r="F214" s="10" t="s">
        <v>292</v>
      </c>
      <c r="G214" s="10" t="s">
        <v>483</v>
      </c>
      <c r="H214" s="10" t="s">
        <v>710</v>
      </c>
      <c r="I214" s="10" t="s">
        <v>44</v>
      </c>
      <c r="J214" s="10" t="s">
        <v>711</v>
      </c>
      <c r="K214" s="10" t="s">
        <v>296</v>
      </c>
      <c r="L214" s="10" t="s">
        <v>414</v>
      </c>
      <c r="M214" s="10" t="s">
        <v>712</v>
      </c>
    </row>
    <row r="215" customFormat="false" ht="23.85" hidden="false" customHeight="false" outlineLevel="0" collapsed="false">
      <c r="A215" s="10" t="s">
        <v>65</v>
      </c>
      <c r="B215" s="10" t="s">
        <v>1161</v>
      </c>
      <c r="C215" s="10" t="s">
        <v>713</v>
      </c>
      <c r="D215" s="10" t="s">
        <v>714</v>
      </c>
      <c r="E215" s="10" t="s">
        <v>715</v>
      </c>
      <c r="F215" s="10" t="s">
        <v>292</v>
      </c>
      <c r="G215" s="10" t="s">
        <v>483</v>
      </c>
      <c r="H215" s="10" t="s">
        <v>716</v>
      </c>
      <c r="I215" s="10" t="s">
        <v>44</v>
      </c>
      <c r="J215" s="10" t="s">
        <v>717</v>
      </c>
      <c r="K215" s="10" t="s">
        <v>296</v>
      </c>
      <c r="L215" s="10" t="s">
        <v>414</v>
      </c>
      <c r="M215" s="10" t="s">
        <v>718</v>
      </c>
    </row>
    <row r="216" customFormat="false" ht="23.85" hidden="false" customHeight="false" outlineLevel="0" collapsed="false">
      <c r="A216" s="10" t="s">
        <v>65</v>
      </c>
      <c r="B216" s="10" t="s">
        <v>1161</v>
      </c>
      <c r="C216" s="10" t="s">
        <v>719</v>
      </c>
      <c r="D216" s="10" t="s">
        <v>302</v>
      </c>
      <c r="E216" s="10" t="s">
        <v>720</v>
      </c>
      <c r="F216" s="10" t="s">
        <v>441</v>
      </c>
      <c r="G216" s="10" t="s">
        <v>551</v>
      </c>
      <c r="H216" s="10" t="s">
        <v>721</v>
      </c>
      <c r="I216" s="10" t="s">
        <v>44</v>
      </c>
      <c r="J216" s="10" t="s">
        <v>722</v>
      </c>
      <c r="K216" s="10" t="s">
        <v>296</v>
      </c>
      <c r="L216" s="10" t="s">
        <v>1162</v>
      </c>
      <c r="M216" s="10" t="s">
        <v>724</v>
      </c>
    </row>
    <row r="217" customFormat="false" ht="23.85" hidden="false" customHeight="false" outlineLevel="0" collapsed="false">
      <c r="A217" s="10" t="s">
        <v>76</v>
      </c>
      <c r="B217" s="10" t="s">
        <v>1161</v>
      </c>
      <c r="C217" s="10" t="s">
        <v>725</v>
      </c>
      <c r="D217" s="10" t="s">
        <v>726</v>
      </c>
      <c r="E217" s="10" t="s">
        <v>727</v>
      </c>
      <c r="F217" s="10" t="s">
        <v>292</v>
      </c>
      <c r="G217" s="10" t="s">
        <v>684</v>
      </c>
      <c r="H217" s="10" t="s">
        <v>728</v>
      </c>
      <c r="I217" s="10" t="s">
        <v>44</v>
      </c>
      <c r="J217" s="10" t="s">
        <v>729</v>
      </c>
      <c r="K217" s="10" t="s">
        <v>296</v>
      </c>
      <c r="L217" s="10" t="s">
        <v>1163</v>
      </c>
      <c r="M217" s="10" t="s">
        <v>731</v>
      </c>
    </row>
    <row r="218" customFormat="false" ht="23.85" hidden="false" customHeight="false" outlineLevel="0" collapsed="false">
      <c r="A218" s="10" t="s">
        <v>76</v>
      </c>
      <c r="B218" s="10" t="s">
        <v>1161</v>
      </c>
      <c r="C218" s="10" t="s">
        <v>732</v>
      </c>
      <c r="D218" s="10" t="s">
        <v>733</v>
      </c>
      <c r="E218" s="10" t="s">
        <v>734</v>
      </c>
      <c r="F218" s="10" t="s">
        <v>441</v>
      </c>
      <c r="G218" s="10" t="s">
        <v>551</v>
      </c>
      <c r="H218" s="10" t="s">
        <v>735</v>
      </c>
      <c r="I218" s="10" t="s">
        <v>44</v>
      </c>
      <c r="J218" s="10" t="s">
        <v>736</v>
      </c>
      <c r="K218" s="10" t="s">
        <v>296</v>
      </c>
      <c r="L218" s="10" t="s">
        <v>1163</v>
      </c>
      <c r="M218" s="10" t="s">
        <v>737</v>
      </c>
    </row>
    <row r="219" customFormat="false" ht="23.85" hidden="false" customHeight="false" outlineLevel="0" collapsed="false">
      <c r="A219" s="10" t="s">
        <v>76</v>
      </c>
      <c r="B219" s="10" t="s">
        <v>1161</v>
      </c>
      <c r="C219" s="10" t="s">
        <v>738</v>
      </c>
      <c r="D219" s="10" t="s">
        <v>739</v>
      </c>
      <c r="E219" s="10" t="s">
        <v>740</v>
      </c>
      <c r="F219" s="10" t="s">
        <v>441</v>
      </c>
      <c r="G219" s="10" t="s">
        <v>551</v>
      </c>
      <c r="H219" s="10" t="s">
        <v>741</v>
      </c>
      <c r="I219" s="10" t="s">
        <v>44</v>
      </c>
      <c r="J219" s="10" t="s">
        <v>742</v>
      </c>
      <c r="K219" s="10" t="s">
        <v>296</v>
      </c>
      <c r="L219" s="10" t="s">
        <v>1164</v>
      </c>
      <c r="M219" s="10" t="s">
        <v>744</v>
      </c>
    </row>
    <row r="220" customFormat="false" ht="23.85" hidden="false" customHeight="false" outlineLevel="0" collapsed="false">
      <c r="A220" s="10" t="s">
        <v>76</v>
      </c>
      <c r="B220" s="10" t="s">
        <v>1161</v>
      </c>
      <c r="C220" s="10" t="s">
        <v>745</v>
      </c>
      <c r="D220" s="10" t="s">
        <v>302</v>
      </c>
      <c r="E220" s="10" t="s">
        <v>746</v>
      </c>
      <c r="F220" s="10" t="s">
        <v>441</v>
      </c>
      <c r="G220" s="10" t="s">
        <v>747</v>
      </c>
      <c r="H220" s="10" t="s">
        <v>748</v>
      </c>
      <c r="I220" s="10" t="s">
        <v>44</v>
      </c>
      <c r="J220" s="10" t="s">
        <v>749</v>
      </c>
      <c r="K220" s="10" t="s">
        <v>296</v>
      </c>
      <c r="L220" s="10" t="s">
        <v>1165</v>
      </c>
      <c r="M220" s="10" t="s">
        <v>751</v>
      </c>
    </row>
    <row r="221" customFormat="false" ht="91" hidden="false" customHeight="false" outlineLevel="0" collapsed="false">
      <c r="A221" s="10" t="s">
        <v>1166</v>
      </c>
      <c r="B221" s="10" t="s">
        <v>1167</v>
      </c>
      <c r="C221" s="10" t="s">
        <v>1168</v>
      </c>
      <c r="D221" s="10" t="s">
        <v>1169</v>
      </c>
      <c r="E221" s="10" t="s">
        <v>1170</v>
      </c>
      <c r="F221" s="10" t="s">
        <v>356</v>
      </c>
      <c r="G221" s="10" t="s">
        <v>213</v>
      </c>
      <c r="H221" s="10" t="s">
        <v>1171</v>
      </c>
      <c r="I221" s="10" t="s">
        <v>44</v>
      </c>
      <c r="J221" s="10" t="s">
        <v>1172</v>
      </c>
      <c r="K221" s="10" t="s">
        <v>296</v>
      </c>
      <c r="L221" s="10" t="s">
        <v>1173</v>
      </c>
      <c r="M221" s="10" t="s">
        <v>1174</v>
      </c>
    </row>
    <row r="222" customFormat="false" ht="35.05" hidden="false" customHeight="false" outlineLevel="0" collapsed="false">
      <c r="A222" s="10" t="s">
        <v>1166</v>
      </c>
      <c r="B222" s="10" t="s">
        <v>1167</v>
      </c>
      <c r="C222" s="10" t="s">
        <v>1175</v>
      </c>
      <c r="D222" s="10" t="s">
        <v>1176</v>
      </c>
      <c r="E222" s="10" t="s">
        <v>1177</v>
      </c>
      <c r="F222" s="10" t="s">
        <v>1178</v>
      </c>
      <c r="G222" s="10" t="s">
        <v>213</v>
      </c>
      <c r="H222" s="10" t="s">
        <v>1179</v>
      </c>
      <c r="I222" s="10" t="s">
        <v>44</v>
      </c>
      <c r="J222" s="10" t="s">
        <v>1180</v>
      </c>
      <c r="K222" s="10" t="s">
        <v>296</v>
      </c>
      <c r="L222" s="10" t="s">
        <v>1181</v>
      </c>
      <c r="M222" s="10" t="s">
        <v>1182</v>
      </c>
    </row>
    <row r="223" customFormat="false" ht="35.05" hidden="false" customHeight="false" outlineLevel="0" collapsed="false">
      <c r="A223" s="10" t="s">
        <v>1166</v>
      </c>
      <c r="B223" s="10" t="s">
        <v>1167</v>
      </c>
      <c r="C223" s="10" t="s">
        <v>1183</v>
      </c>
      <c r="D223" s="10" t="s">
        <v>1184</v>
      </c>
      <c r="E223" s="10" t="s">
        <v>1185</v>
      </c>
      <c r="F223" s="10" t="s">
        <v>441</v>
      </c>
      <c r="G223" s="10" t="s">
        <v>1186</v>
      </c>
      <c r="H223" s="10" t="s">
        <v>1187</v>
      </c>
      <c r="I223" s="10" t="s">
        <v>44</v>
      </c>
      <c r="J223" s="10" t="s">
        <v>1188</v>
      </c>
      <c r="K223" s="10" t="s">
        <v>296</v>
      </c>
      <c r="L223" s="10" t="s">
        <v>1189</v>
      </c>
      <c r="M223" s="10" t="s">
        <v>1190</v>
      </c>
    </row>
    <row r="224" customFormat="false" ht="35.05" hidden="false" customHeight="false" outlineLevel="0" collapsed="false">
      <c r="A224" s="10" t="s">
        <v>1166</v>
      </c>
      <c r="B224" s="10" t="s">
        <v>1167</v>
      </c>
      <c r="C224" s="10" t="s">
        <v>1191</v>
      </c>
      <c r="D224" s="10" t="s">
        <v>1192</v>
      </c>
      <c r="E224" s="10" t="s">
        <v>1193</v>
      </c>
      <c r="F224" s="10" t="s">
        <v>356</v>
      </c>
      <c r="G224" s="10" t="s">
        <v>213</v>
      </c>
      <c r="H224" s="10" t="s">
        <v>551</v>
      </c>
      <c r="I224" s="10" t="s">
        <v>44</v>
      </c>
      <c r="J224" s="10" t="s">
        <v>1194</v>
      </c>
      <c r="K224" s="10" t="s">
        <v>296</v>
      </c>
      <c r="L224" s="10" t="s">
        <v>1195</v>
      </c>
      <c r="M224" s="10" t="s">
        <v>1196</v>
      </c>
    </row>
    <row r="225" customFormat="false" ht="57.45" hidden="false" customHeight="false" outlineLevel="0" collapsed="false">
      <c r="A225" s="10" t="s">
        <v>1166</v>
      </c>
      <c r="B225" s="10" t="s">
        <v>1167</v>
      </c>
      <c r="C225" s="10" t="s">
        <v>1197</v>
      </c>
      <c r="D225" s="10" t="s">
        <v>1198</v>
      </c>
      <c r="E225" s="10" t="s">
        <v>1199</v>
      </c>
      <c r="F225" s="10" t="s">
        <v>356</v>
      </c>
      <c r="G225" s="10" t="s">
        <v>213</v>
      </c>
      <c r="H225" s="10" t="s">
        <v>1200</v>
      </c>
      <c r="I225" s="10" t="s">
        <v>44</v>
      </c>
      <c r="J225" s="10" t="s">
        <v>1201</v>
      </c>
      <c r="K225" s="10" t="s">
        <v>296</v>
      </c>
      <c r="L225" s="10" t="s">
        <v>1202</v>
      </c>
      <c r="M225" s="10" t="s">
        <v>1203</v>
      </c>
    </row>
    <row r="226" customFormat="false" ht="68.65" hidden="false" customHeight="false" outlineLevel="0" collapsed="false">
      <c r="A226" s="10" t="s">
        <v>1166</v>
      </c>
      <c r="B226" s="10" t="s">
        <v>1167</v>
      </c>
      <c r="C226" s="10" t="s">
        <v>1204</v>
      </c>
      <c r="D226" s="10" t="s">
        <v>1205</v>
      </c>
      <c r="E226" s="10" t="s">
        <v>1206</v>
      </c>
      <c r="F226" s="10" t="s">
        <v>356</v>
      </c>
      <c r="G226" s="10" t="s">
        <v>1207</v>
      </c>
      <c r="H226" s="10" t="s">
        <v>173</v>
      </c>
      <c r="I226" s="10" t="s">
        <v>44</v>
      </c>
      <c r="J226" s="10" t="s">
        <v>1208</v>
      </c>
      <c r="K226" s="10" t="s">
        <v>296</v>
      </c>
      <c r="L226" s="10" t="s">
        <v>1189</v>
      </c>
      <c r="M226" s="10" t="s">
        <v>1209</v>
      </c>
    </row>
    <row r="227" customFormat="false" ht="35.05" hidden="false" customHeight="false" outlineLevel="0" collapsed="false">
      <c r="A227" s="10" t="s">
        <v>1210</v>
      </c>
      <c r="B227" s="10" t="s">
        <v>1211</v>
      </c>
      <c r="C227" s="10" t="s">
        <v>1144</v>
      </c>
      <c r="D227" s="10" t="s">
        <v>1145</v>
      </c>
      <c r="E227" s="10" t="s">
        <v>1146</v>
      </c>
      <c r="F227" s="10" t="s">
        <v>292</v>
      </c>
      <c r="G227" s="10" t="s">
        <v>1147</v>
      </c>
      <c r="H227" s="10" t="s">
        <v>1212</v>
      </c>
      <c r="I227" s="10" t="s">
        <v>44</v>
      </c>
      <c r="J227" s="10" t="s">
        <v>1213</v>
      </c>
      <c r="K227" s="10" t="s">
        <v>296</v>
      </c>
      <c r="L227" s="10" t="s">
        <v>1150</v>
      </c>
      <c r="M227" s="10" t="s">
        <v>1151</v>
      </c>
    </row>
    <row r="228" customFormat="false" ht="35.05" hidden="false" customHeight="false" outlineLevel="0" collapsed="false">
      <c r="A228" s="10" t="s">
        <v>137</v>
      </c>
      <c r="B228" s="10" t="s">
        <v>1211</v>
      </c>
      <c r="C228" s="10" t="s">
        <v>1214</v>
      </c>
      <c r="D228" s="10" t="s">
        <v>1215</v>
      </c>
      <c r="E228" s="10" t="s">
        <v>1216</v>
      </c>
      <c r="F228" s="10" t="s">
        <v>441</v>
      </c>
      <c r="G228" s="10" t="s">
        <v>1217</v>
      </c>
      <c r="H228" s="10" t="s">
        <v>1218</v>
      </c>
      <c r="I228" s="10" t="s">
        <v>44</v>
      </c>
      <c r="J228" s="10" t="s">
        <v>1219</v>
      </c>
      <c r="K228" s="10" t="s">
        <v>296</v>
      </c>
      <c r="L228" s="10" t="s">
        <v>1220</v>
      </c>
      <c r="M228" s="10" t="s">
        <v>1221</v>
      </c>
    </row>
    <row r="229" customFormat="false" ht="35.05" hidden="false" customHeight="false" outlineLevel="0" collapsed="false">
      <c r="A229" s="10" t="s">
        <v>146</v>
      </c>
      <c r="B229" s="10" t="s">
        <v>1211</v>
      </c>
      <c r="C229" s="10" t="s">
        <v>1222</v>
      </c>
      <c r="D229" s="10" t="s">
        <v>1223</v>
      </c>
      <c r="E229" s="10" t="s">
        <v>1224</v>
      </c>
      <c r="F229" s="10" t="s">
        <v>441</v>
      </c>
      <c r="G229" s="10" t="s">
        <v>1225</v>
      </c>
      <c r="H229" s="10" t="s">
        <v>1226</v>
      </c>
      <c r="I229" s="10" t="s">
        <v>44</v>
      </c>
      <c r="J229" s="10" t="s">
        <v>1227</v>
      </c>
      <c r="K229" s="10" t="s">
        <v>296</v>
      </c>
      <c r="L229" s="10" t="s">
        <v>1220</v>
      </c>
      <c r="M229" s="10" t="s">
        <v>1228</v>
      </c>
    </row>
    <row r="230" customFormat="false" ht="35.05" hidden="false" customHeight="false" outlineLevel="0" collapsed="false">
      <c r="A230" s="10" t="s">
        <v>152</v>
      </c>
      <c r="B230" s="10" t="s">
        <v>1211</v>
      </c>
      <c r="C230" s="10" t="s">
        <v>1229</v>
      </c>
      <c r="D230" s="10" t="s">
        <v>1230</v>
      </c>
      <c r="E230" s="10" t="s">
        <v>1231</v>
      </c>
      <c r="F230" s="10" t="s">
        <v>441</v>
      </c>
      <c r="G230" s="10" t="s">
        <v>551</v>
      </c>
      <c r="H230" s="10" t="s">
        <v>1232</v>
      </c>
      <c r="I230" s="10" t="s">
        <v>44</v>
      </c>
      <c r="J230" s="10" t="s">
        <v>1233</v>
      </c>
      <c r="K230" s="10" t="s">
        <v>296</v>
      </c>
      <c r="L230" s="10" t="s">
        <v>1234</v>
      </c>
      <c r="M230" s="10" t="s">
        <v>1235</v>
      </c>
    </row>
    <row r="231" customFormat="false" ht="35.05" hidden="false" customHeight="false" outlineLevel="0" collapsed="false">
      <c r="A231" s="10" t="s">
        <v>146</v>
      </c>
      <c r="B231" s="10" t="s">
        <v>1211</v>
      </c>
      <c r="C231" s="10" t="s">
        <v>1236</v>
      </c>
      <c r="D231" s="10" t="s">
        <v>302</v>
      </c>
      <c r="E231" s="10" t="s">
        <v>1237</v>
      </c>
      <c r="F231" s="10" t="s">
        <v>441</v>
      </c>
      <c r="G231" s="10" t="s">
        <v>551</v>
      </c>
      <c r="H231" s="10" t="s">
        <v>1238</v>
      </c>
      <c r="I231" s="10" t="s">
        <v>336</v>
      </c>
      <c r="J231" s="10" t="s">
        <v>1239</v>
      </c>
      <c r="K231" s="10" t="s">
        <v>296</v>
      </c>
      <c r="L231" s="10" t="s">
        <v>1240</v>
      </c>
      <c r="M231" s="10" t="s">
        <v>1241</v>
      </c>
    </row>
    <row r="232" customFormat="false" ht="35.05" hidden="false" customHeight="false" outlineLevel="0" collapsed="false">
      <c r="A232" s="10" t="s">
        <v>76</v>
      </c>
      <c r="B232" s="10" t="s">
        <v>1242</v>
      </c>
      <c r="C232" s="10" t="s">
        <v>1144</v>
      </c>
      <c r="D232" s="10" t="s">
        <v>1145</v>
      </c>
      <c r="E232" s="10" t="s">
        <v>1146</v>
      </c>
      <c r="F232" s="10" t="s">
        <v>292</v>
      </c>
      <c r="G232" s="10" t="s">
        <v>1147</v>
      </c>
      <c r="H232" s="10" t="s">
        <v>1148</v>
      </c>
      <c r="I232" s="10" t="s">
        <v>44</v>
      </c>
      <c r="J232" s="10" t="s">
        <v>1149</v>
      </c>
      <c r="K232" s="10" t="s">
        <v>296</v>
      </c>
      <c r="L232" s="10" t="s">
        <v>1150</v>
      </c>
      <c r="M232" s="10" t="s">
        <v>1151</v>
      </c>
    </row>
    <row r="233" customFormat="false" ht="35.05" hidden="false" customHeight="false" outlineLevel="0" collapsed="false">
      <c r="A233" s="10" t="s">
        <v>36</v>
      </c>
      <c r="B233" s="10" t="s">
        <v>1242</v>
      </c>
      <c r="C233" s="10" t="s">
        <v>332</v>
      </c>
      <c r="D233" s="10" t="s">
        <v>333</v>
      </c>
      <c r="E233" s="10" t="s">
        <v>334</v>
      </c>
      <c r="F233" s="10" t="s">
        <v>304</v>
      </c>
      <c r="G233" s="10" t="s">
        <v>213</v>
      </c>
      <c r="H233" s="10" t="s">
        <v>467</v>
      </c>
      <c r="I233" s="10" t="s">
        <v>44</v>
      </c>
      <c r="J233" s="10" t="s">
        <v>337</v>
      </c>
      <c r="K233" s="10" t="s">
        <v>296</v>
      </c>
      <c r="L233" s="10" t="s">
        <v>338</v>
      </c>
      <c r="M233" s="10" t="s">
        <v>339</v>
      </c>
    </row>
    <row r="234" customFormat="false" ht="35.05" hidden="false" customHeight="false" outlineLevel="0" collapsed="false">
      <c r="A234" s="10" t="s">
        <v>76</v>
      </c>
      <c r="B234" s="10" t="s">
        <v>1242</v>
      </c>
      <c r="C234" s="10" t="s">
        <v>1243</v>
      </c>
      <c r="D234" s="10" t="s">
        <v>682</v>
      </c>
      <c r="E234" s="10" t="s">
        <v>1244</v>
      </c>
      <c r="F234" s="10" t="s">
        <v>292</v>
      </c>
      <c r="G234" s="10" t="s">
        <v>684</v>
      </c>
      <c r="H234" s="10" t="s">
        <v>1245</v>
      </c>
      <c r="I234" s="10" t="s">
        <v>44</v>
      </c>
      <c r="J234" s="10" t="s">
        <v>1246</v>
      </c>
      <c r="K234" s="10" t="s">
        <v>296</v>
      </c>
      <c r="L234" s="10" t="s">
        <v>1157</v>
      </c>
      <c r="M234" s="10" t="s">
        <v>1247</v>
      </c>
    </row>
    <row r="235" customFormat="false" ht="35.05" hidden="false" customHeight="false" outlineLevel="0" collapsed="false">
      <c r="A235" s="10" t="s">
        <v>76</v>
      </c>
      <c r="B235" s="10" t="s">
        <v>1242</v>
      </c>
      <c r="C235" s="10" t="s">
        <v>1248</v>
      </c>
      <c r="D235" s="10" t="s">
        <v>1249</v>
      </c>
      <c r="E235" s="10" t="s">
        <v>1250</v>
      </c>
      <c r="F235" s="10" t="s">
        <v>441</v>
      </c>
      <c r="G235" s="10" t="s">
        <v>551</v>
      </c>
      <c r="H235" s="10" t="s">
        <v>1251</v>
      </c>
      <c r="I235" s="10" t="s">
        <v>44</v>
      </c>
      <c r="J235" s="10" t="s">
        <v>1252</v>
      </c>
      <c r="K235" s="10" t="s">
        <v>296</v>
      </c>
      <c r="L235" s="10" t="s">
        <v>414</v>
      </c>
      <c r="M235" s="10" t="s">
        <v>1253</v>
      </c>
    </row>
    <row r="236" customFormat="false" ht="23.85" hidden="false" customHeight="false" outlineLevel="0" collapsed="false">
      <c r="A236" s="10" t="s">
        <v>156</v>
      </c>
      <c r="B236" s="10" t="s">
        <v>1254</v>
      </c>
      <c r="C236" s="10" t="s">
        <v>1175</v>
      </c>
      <c r="D236" s="10" t="s">
        <v>1176</v>
      </c>
      <c r="E236" s="10" t="s">
        <v>1177</v>
      </c>
      <c r="F236" s="10" t="s">
        <v>1178</v>
      </c>
      <c r="G236" s="10" t="s">
        <v>213</v>
      </c>
      <c r="H236" s="10" t="s">
        <v>1255</v>
      </c>
      <c r="I236" s="10" t="s">
        <v>44</v>
      </c>
      <c r="J236" s="10" t="s">
        <v>1256</v>
      </c>
      <c r="K236" s="10" t="s">
        <v>296</v>
      </c>
      <c r="L236" s="10" t="s">
        <v>1181</v>
      </c>
      <c r="M236" s="10" t="s">
        <v>1182</v>
      </c>
    </row>
    <row r="237" customFormat="false" ht="23.85" hidden="false" customHeight="false" outlineLevel="0" collapsed="false">
      <c r="A237" s="10" t="s">
        <v>156</v>
      </c>
      <c r="B237" s="10" t="s">
        <v>1254</v>
      </c>
      <c r="C237" s="10" t="s">
        <v>1257</v>
      </c>
      <c r="D237" s="10" t="s">
        <v>1258</v>
      </c>
      <c r="E237" s="10" t="s">
        <v>1259</v>
      </c>
      <c r="F237" s="10" t="s">
        <v>292</v>
      </c>
      <c r="G237" s="10" t="s">
        <v>1260</v>
      </c>
      <c r="H237" s="10" t="s">
        <v>1261</v>
      </c>
      <c r="I237" s="10" t="s">
        <v>44</v>
      </c>
      <c r="J237" s="10" t="s">
        <v>1262</v>
      </c>
      <c r="K237" s="10" t="s">
        <v>296</v>
      </c>
      <c r="L237" s="10" t="s">
        <v>414</v>
      </c>
      <c r="M237" s="10" t="s">
        <v>1263</v>
      </c>
    </row>
    <row r="238" customFormat="false" ht="23.85" hidden="false" customHeight="false" outlineLevel="0" collapsed="false">
      <c r="A238" s="10" t="s">
        <v>156</v>
      </c>
      <c r="B238" s="10" t="s">
        <v>1254</v>
      </c>
      <c r="C238" s="10" t="s">
        <v>1264</v>
      </c>
      <c r="D238" s="10" t="s">
        <v>1265</v>
      </c>
      <c r="E238" s="10" t="s">
        <v>1266</v>
      </c>
      <c r="F238" s="10" t="s">
        <v>292</v>
      </c>
      <c r="G238" s="10" t="s">
        <v>1260</v>
      </c>
      <c r="H238" s="10" t="s">
        <v>1267</v>
      </c>
      <c r="I238" s="10" t="s">
        <v>44</v>
      </c>
      <c r="J238" s="10" t="s">
        <v>1268</v>
      </c>
      <c r="K238" s="10" t="s">
        <v>296</v>
      </c>
      <c r="L238" s="10" t="s">
        <v>414</v>
      </c>
      <c r="M238" s="10" t="s">
        <v>1269</v>
      </c>
    </row>
    <row r="239" customFormat="false" ht="23.85" hidden="false" customHeight="false" outlineLevel="0" collapsed="false">
      <c r="A239" s="10" t="s">
        <v>156</v>
      </c>
      <c r="B239" s="10" t="s">
        <v>1254</v>
      </c>
      <c r="C239" s="10" t="s">
        <v>1270</v>
      </c>
      <c r="D239" s="10" t="s">
        <v>302</v>
      </c>
      <c r="E239" s="10" t="s">
        <v>1271</v>
      </c>
      <c r="F239" s="10" t="s">
        <v>441</v>
      </c>
      <c r="G239" s="10" t="s">
        <v>551</v>
      </c>
      <c r="H239" s="10" t="s">
        <v>1272</v>
      </c>
      <c r="I239" s="10" t="s">
        <v>44</v>
      </c>
      <c r="J239" s="10" t="s">
        <v>1273</v>
      </c>
      <c r="K239" s="10" t="s">
        <v>296</v>
      </c>
      <c r="L239" s="10" t="s">
        <v>1274</v>
      </c>
      <c r="M239" s="10" t="s">
        <v>1275</v>
      </c>
    </row>
    <row r="240" customFormat="false" ht="35.05" hidden="false" customHeight="false" outlineLevel="0" collapsed="false">
      <c r="A240" s="10" t="s">
        <v>36</v>
      </c>
      <c r="B240" s="10" t="s">
        <v>1276</v>
      </c>
      <c r="C240" s="10" t="s">
        <v>332</v>
      </c>
      <c r="D240" s="10" t="s">
        <v>333</v>
      </c>
      <c r="E240" s="10" t="s">
        <v>334</v>
      </c>
      <c r="F240" s="10" t="s">
        <v>304</v>
      </c>
      <c r="G240" s="10" t="s">
        <v>213</v>
      </c>
      <c r="H240" s="10" t="s">
        <v>467</v>
      </c>
      <c r="I240" s="10" t="s">
        <v>44</v>
      </c>
      <c r="J240" s="10" t="s">
        <v>337</v>
      </c>
      <c r="K240" s="10" t="s">
        <v>296</v>
      </c>
      <c r="L240" s="10" t="s">
        <v>338</v>
      </c>
      <c r="M240" s="10" t="s">
        <v>339</v>
      </c>
    </row>
    <row r="241" customFormat="false" ht="35.05" hidden="false" customHeight="false" outlineLevel="0" collapsed="false">
      <c r="A241" s="10" t="s">
        <v>36</v>
      </c>
      <c r="B241" s="10" t="s">
        <v>1276</v>
      </c>
      <c r="C241" s="10" t="s">
        <v>422</v>
      </c>
      <c r="D241" s="10" t="s">
        <v>423</v>
      </c>
      <c r="E241" s="10" t="s">
        <v>424</v>
      </c>
      <c r="F241" s="10" t="s">
        <v>356</v>
      </c>
      <c r="G241" s="10" t="s">
        <v>213</v>
      </c>
      <c r="H241" s="10" t="s">
        <v>469</v>
      </c>
      <c r="I241" s="10" t="s">
        <v>44</v>
      </c>
      <c r="J241" s="10" t="s">
        <v>337</v>
      </c>
      <c r="K241" s="10" t="s">
        <v>296</v>
      </c>
      <c r="L241" s="10" t="s">
        <v>426</v>
      </c>
      <c r="M241" s="10" t="s">
        <v>427</v>
      </c>
    </row>
    <row r="242" customFormat="false" ht="35.05" hidden="false" customHeight="false" outlineLevel="0" collapsed="false">
      <c r="A242" s="10" t="s">
        <v>36</v>
      </c>
      <c r="B242" s="10" t="s">
        <v>1276</v>
      </c>
      <c r="C242" s="10" t="s">
        <v>428</v>
      </c>
      <c r="D242" s="10" t="s">
        <v>363</v>
      </c>
      <c r="E242" s="10" t="s">
        <v>429</v>
      </c>
      <c r="F242" s="10" t="s">
        <v>356</v>
      </c>
      <c r="G242" s="10" t="s">
        <v>213</v>
      </c>
      <c r="H242" s="10" t="s">
        <v>477</v>
      </c>
      <c r="I242" s="10" t="s">
        <v>44</v>
      </c>
      <c r="J242" s="10" t="s">
        <v>337</v>
      </c>
      <c r="K242" s="10" t="s">
        <v>296</v>
      </c>
      <c r="L242" s="10" t="s">
        <v>430</v>
      </c>
      <c r="M242" s="10" t="s">
        <v>431</v>
      </c>
    </row>
    <row r="243" customFormat="false" ht="35.05" hidden="false" customHeight="false" outlineLevel="0" collapsed="false">
      <c r="A243" s="10" t="s">
        <v>846</v>
      </c>
      <c r="B243" s="10" t="s">
        <v>1276</v>
      </c>
      <c r="C243" s="10" t="s">
        <v>847</v>
      </c>
      <c r="D243" s="10" t="s">
        <v>302</v>
      </c>
      <c r="E243" s="10" t="s">
        <v>848</v>
      </c>
      <c r="F243" s="10" t="s">
        <v>292</v>
      </c>
      <c r="G243" s="10" t="s">
        <v>849</v>
      </c>
      <c r="H243" s="10" t="s">
        <v>323</v>
      </c>
      <c r="I243" s="10" t="s">
        <v>44</v>
      </c>
      <c r="J243" s="10" t="s">
        <v>850</v>
      </c>
      <c r="K243" s="10" t="s">
        <v>296</v>
      </c>
      <c r="L243" s="10" t="s">
        <v>1277</v>
      </c>
      <c r="M243" s="10" t="s">
        <v>852</v>
      </c>
    </row>
    <row r="244" customFormat="false" ht="46.25" hidden="false" customHeight="false" outlineLevel="0" collapsed="false">
      <c r="A244" s="10" t="s">
        <v>176</v>
      </c>
      <c r="B244" s="10" t="s">
        <v>1278</v>
      </c>
      <c r="C244" s="10" t="s">
        <v>1279</v>
      </c>
      <c r="D244" s="10" t="s">
        <v>1192</v>
      </c>
      <c r="E244" s="10" t="s">
        <v>1280</v>
      </c>
      <c r="F244" s="10" t="s">
        <v>356</v>
      </c>
      <c r="G244" s="10" t="s">
        <v>213</v>
      </c>
      <c r="H244" s="10" t="s">
        <v>1281</v>
      </c>
      <c r="I244" s="10" t="s">
        <v>44</v>
      </c>
      <c r="J244" s="10" t="s">
        <v>1282</v>
      </c>
      <c r="K244" s="10" t="s">
        <v>296</v>
      </c>
      <c r="L244" s="10" t="s">
        <v>1283</v>
      </c>
      <c r="M244" s="10" t="s">
        <v>1284</v>
      </c>
    </row>
    <row r="245" customFormat="false" ht="202.95" hidden="false" customHeight="false" outlineLevel="0" collapsed="false">
      <c r="A245" s="10" t="s">
        <v>176</v>
      </c>
      <c r="B245" s="10" t="s">
        <v>1278</v>
      </c>
      <c r="C245" s="10" t="s">
        <v>1285</v>
      </c>
      <c r="D245" s="10" t="s">
        <v>1286</v>
      </c>
      <c r="E245" s="10" t="s">
        <v>1287</v>
      </c>
      <c r="F245" s="10" t="s">
        <v>356</v>
      </c>
      <c r="G245" s="10" t="s">
        <v>213</v>
      </c>
      <c r="H245" s="10" t="s">
        <v>1288</v>
      </c>
      <c r="I245" s="10" t="s">
        <v>44</v>
      </c>
      <c r="J245" s="10" t="s">
        <v>1289</v>
      </c>
      <c r="K245" s="10" t="s">
        <v>296</v>
      </c>
      <c r="L245" s="10" t="s">
        <v>1290</v>
      </c>
      <c r="M245" s="10" t="s">
        <v>1291</v>
      </c>
    </row>
    <row r="246" customFormat="false" ht="35.05" hidden="false" customHeight="false" outlineLevel="0" collapsed="false">
      <c r="A246" s="10" t="s">
        <v>176</v>
      </c>
      <c r="B246" s="10" t="s">
        <v>1278</v>
      </c>
      <c r="C246" s="10" t="s">
        <v>1292</v>
      </c>
      <c r="D246" s="10" t="s">
        <v>1293</v>
      </c>
      <c r="E246" s="10" t="s">
        <v>1294</v>
      </c>
      <c r="F246" s="10" t="s">
        <v>356</v>
      </c>
      <c r="G246" s="10" t="s">
        <v>213</v>
      </c>
      <c r="H246" s="10" t="s">
        <v>1295</v>
      </c>
      <c r="I246" s="10" t="s">
        <v>44</v>
      </c>
      <c r="J246" s="10" t="s">
        <v>1296</v>
      </c>
      <c r="K246" s="10" t="s">
        <v>1297</v>
      </c>
      <c r="L246" s="10" t="s">
        <v>1298</v>
      </c>
      <c r="M246" s="10" t="s">
        <v>1299</v>
      </c>
    </row>
    <row r="247" customFormat="false" ht="68.65" hidden="false" customHeight="false" outlineLevel="0" collapsed="false">
      <c r="A247" s="10" t="s">
        <v>176</v>
      </c>
      <c r="B247" s="10" t="s">
        <v>1278</v>
      </c>
      <c r="C247" s="10" t="s">
        <v>1204</v>
      </c>
      <c r="D247" s="10" t="s">
        <v>1205</v>
      </c>
      <c r="E247" s="10" t="s">
        <v>1206</v>
      </c>
      <c r="F247" s="10" t="s">
        <v>356</v>
      </c>
      <c r="G247" s="10" t="s">
        <v>1207</v>
      </c>
      <c r="H247" s="10" t="s">
        <v>1300</v>
      </c>
      <c r="I247" s="10" t="s">
        <v>44</v>
      </c>
      <c r="J247" s="10" t="s">
        <v>1296</v>
      </c>
      <c r="K247" s="10" t="s">
        <v>296</v>
      </c>
      <c r="L247" s="10" t="s">
        <v>1189</v>
      </c>
      <c r="M247" s="10" t="s">
        <v>1209</v>
      </c>
    </row>
    <row r="248" customFormat="false" ht="23.85" hidden="false" customHeight="false" outlineLevel="0" collapsed="false">
      <c r="A248" s="10" t="s">
        <v>176</v>
      </c>
      <c r="B248" s="10" t="s">
        <v>1278</v>
      </c>
      <c r="C248" s="10" t="s">
        <v>1197</v>
      </c>
      <c r="D248" s="10" t="s">
        <v>1198</v>
      </c>
      <c r="E248" s="10" t="s">
        <v>1199</v>
      </c>
      <c r="F248" s="10" t="s">
        <v>356</v>
      </c>
      <c r="G248" s="10" t="s">
        <v>213</v>
      </c>
      <c r="H248" s="10" t="s">
        <v>1301</v>
      </c>
      <c r="I248" s="10" t="s">
        <v>44</v>
      </c>
      <c r="J248" s="10" t="s">
        <v>1302</v>
      </c>
      <c r="K248" s="10" t="s">
        <v>296</v>
      </c>
      <c r="L248" s="10" t="s">
        <v>1202</v>
      </c>
      <c r="M248" s="10" t="s">
        <v>1203</v>
      </c>
    </row>
    <row r="249" customFormat="false" ht="35.05" hidden="false" customHeight="false" outlineLevel="0" collapsed="false">
      <c r="A249" s="10" t="s">
        <v>176</v>
      </c>
      <c r="B249" s="10" t="s">
        <v>1278</v>
      </c>
      <c r="C249" s="10" t="s">
        <v>1303</v>
      </c>
      <c r="D249" s="10" t="s">
        <v>302</v>
      </c>
      <c r="E249" s="10" t="s">
        <v>1304</v>
      </c>
      <c r="F249" s="10" t="s">
        <v>356</v>
      </c>
      <c r="G249" s="10" t="s">
        <v>213</v>
      </c>
      <c r="H249" s="10" t="s">
        <v>1305</v>
      </c>
      <c r="I249" s="10" t="s">
        <v>336</v>
      </c>
      <c r="J249" s="10" t="s">
        <v>1306</v>
      </c>
      <c r="K249" s="10" t="s">
        <v>296</v>
      </c>
      <c r="L249" s="10" t="s">
        <v>1307</v>
      </c>
      <c r="M249" s="10" t="s">
        <v>1308</v>
      </c>
    </row>
    <row r="250" customFormat="false" ht="23.85" hidden="false" customHeight="false" outlineLevel="0" collapsed="false">
      <c r="A250" s="10" t="s">
        <v>176</v>
      </c>
      <c r="B250" s="10" t="s">
        <v>1278</v>
      </c>
      <c r="C250" s="10" t="s">
        <v>1309</v>
      </c>
      <c r="D250" s="10" t="s">
        <v>302</v>
      </c>
      <c r="E250" s="10" t="s">
        <v>1310</v>
      </c>
      <c r="F250" s="10" t="s">
        <v>292</v>
      </c>
      <c r="G250" s="10" t="s">
        <v>1311</v>
      </c>
      <c r="H250" s="10" t="s">
        <v>323</v>
      </c>
      <c r="I250" s="10" t="s">
        <v>44</v>
      </c>
      <c r="J250" s="10" t="s">
        <v>1312</v>
      </c>
      <c r="K250" s="10" t="s">
        <v>296</v>
      </c>
      <c r="L250" s="10" t="s">
        <v>1313</v>
      </c>
      <c r="M250" s="10" t="s">
        <v>1314</v>
      </c>
    </row>
    <row r="251" customFormat="false" ht="23.85" hidden="false" customHeight="false" outlineLevel="0" collapsed="false">
      <c r="A251" s="10" t="s">
        <v>176</v>
      </c>
      <c r="B251" s="10" t="s">
        <v>1278</v>
      </c>
      <c r="C251" s="10" t="s">
        <v>1315</v>
      </c>
      <c r="D251" s="10" t="s">
        <v>302</v>
      </c>
      <c r="E251" s="10" t="s">
        <v>1316</v>
      </c>
      <c r="F251" s="10" t="s">
        <v>356</v>
      </c>
      <c r="G251" s="10" t="s">
        <v>213</v>
      </c>
      <c r="H251" s="10" t="s">
        <v>1317</v>
      </c>
      <c r="I251" s="10" t="s">
        <v>44</v>
      </c>
      <c r="J251" s="10" t="s">
        <v>1318</v>
      </c>
      <c r="K251" s="10" t="s">
        <v>296</v>
      </c>
      <c r="L251" s="10" t="s">
        <v>1319</v>
      </c>
      <c r="M251" s="10" t="s">
        <v>1320</v>
      </c>
    </row>
    <row r="252" customFormat="false" ht="23.85" hidden="false" customHeight="false" outlineLevel="0" collapsed="false">
      <c r="A252" s="10" t="s">
        <v>176</v>
      </c>
      <c r="B252" s="10" t="s">
        <v>1278</v>
      </c>
      <c r="C252" s="10" t="s">
        <v>1321</v>
      </c>
      <c r="D252" s="10" t="s">
        <v>363</v>
      </c>
      <c r="E252" s="10" t="s">
        <v>1322</v>
      </c>
      <c r="F252" s="10" t="s">
        <v>1178</v>
      </c>
      <c r="G252" s="10" t="s">
        <v>1323</v>
      </c>
      <c r="H252" s="10" t="s">
        <v>62</v>
      </c>
      <c r="I252" s="10" t="s">
        <v>44</v>
      </c>
      <c r="J252" s="10" t="s">
        <v>62</v>
      </c>
      <c r="K252" s="10" t="s">
        <v>296</v>
      </c>
      <c r="L252" s="10" t="s">
        <v>1324</v>
      </c>
      <c r="M252" s="10" t="s">
        <v>1325</v>
      </c>
    </row>
    <row r="253" customFormat="false" ht="23.85" hidden="false" customHeight="false" outlineLevel="0" collapsed="false">
      <c r="A253" s="10" t="s">
        <v>176</v>
      </c>
      <c r="B253" s="10" t="s">
        <v>1278</v>
      </c>
      <c r="C253" s="10" t="s">
        <v>1326</v>
      </c>
      <c r="D253" s="10" t="s">
        <v>363</v>
      </c>
      <c r="E253" s="10" t="s">
        <v>1327</v>
      </c>
      <c r="F253" s="10" t="s">
        <v>356</v>
      </c>
      <c r="G253" s="10" t="s">
        <v>213</v>
      </c>
      <c r="H253" s="10" t="s">
        <v>1328</v>
      </c>
      <c r="I253" s="10" t="s">
        <v>44</v>
      </c>
      <c r="J253" s="10" t="s">
        <v>1328</v>
      </c>
      <c r="K253" s="10" t="s">
        <v>296</v>
      </c>
      <c r="L253" s="10" t="s">
        <v>1329</v>
      </c>
      <c r="M253" s="10" t="s">
        <v>1330</v>
      </c>
    </row>
    <row r="254" customFormat="false" ht="46.25" hidden="false" customHeight="false" outlineLevel="0" collapsed="false">
      <c r="A254" s="10" t="s">
        <v>176</v>
      </c>
      <c r="B254" s="10" t="s">
        <v>1331</v>
      </c>
      <c r="C254" s="10" t="s">
        <v>1279</v>
      </c>
      <c r="D254" s="10" t="s">
        <v>1192</v>
      </c>
      <c r="E254" s="10" t="s">
        <v>1280</v>
      </c>
      <c r="F254" s="10" t="s">
        <v>356</v>
      </c>
      <c r="G254" s="10" t="s">
        <v>213</v>
      </c>
      <c r="H254" s="10" t="s">
        <v>1332</v>
      </c>
      <c r="I254" s="10" t="s">
        <v>44</v>
      </c>
      <c r="J254" s="10" t="s">
        <v>1282</v>
      </c>
      <c r="K254" s="10" t="s">
        <v>296</v>
      </c>
      <c r="L254" s="10" t="s">
        <v>1283</v>
      </c>
      <c r="M254" s="10" t="s">
        <v>1284</v>
      </c>
    </row>
    <row r="255" customFormat="false" ht="23.85" hidden="false" customHeight="false" outlineLevel="0" collapsed="false">
      <c r="A255" s="10" t="s">
        <v>176</v>
      </c>
      <c r="B255" s="10" t="s">
        <v>1331</v>
      </c>
      <c r="C255" s="10" t="s">
        <v>1333</v>
      </c>
      <c r="D255" s="10" t="s">
        <v>302</v>
      </c>
      <c r="E255" s="10" t="s">
        <v>1334</v>
      </c>
      <c r="F255" s="10" t="s">
        <v>292</v>
      </c>
      <c r="G255" s="10" t="s">
        <v>849</v>
      </c>
      <c r="H255" s="10" t="s">
        <v>836</v>
      </c>
      <c r="I255" s="10" t="s">
        <v>44</v>
      </c>
      <c r="J255" s="10" t="s">
        <v>1335</v>
      </c>
      <c r="K255" s="10" t="s">
        <v>296</v>
      </c>
      <c r="L255" s="10" t="s">
        <v>1336</v>
      </c>
      <c r="M255" s="10" t="s">
        <v>1337</v>
      </c>
    </row>
    <row r="256" customFormat="false" ht="23.85" hidden="false" customHeight="false" outlineLevel="0" collapsed="false">
      <c r="A256" s="10" t="s">
        <v>176</v>
      </c>
      <c r="B256" s="10" t="s">
        <v>1331</v>
      </c>
      <c r="C256" s="10" t="s">
        <v>1338</v>
      </c>
      <c r="D256" s="10" t="s">
        <v>302</v>
      </c>
      <c r="E256" s="10" t="s">
        <v>1339</v>
      </c>
      <c r="F256" s="10" t="s">
        <v>441</v>
      </c>
      <c r="G256" s="10" t="s">
        <v>1311</v>
      </c>
      <c r="H256" s="10" t="s">
        <v>312</v>
      </c>
      <c r="I256" s="10" t="s">
        <v>44</v>
      </c>
      <c r="J256" s="10" t="s">
        <v>1340</v>
      </c>
      <c r="K256" s="10" t="s">
        <v>296</v>
      </c>
      <c r="L256" s="10" t="s">
        <v>1341</v>
      </c>
      <c r="M256" s="10" t="s">
        <v>1342</v>
      </c>
    </row>
    <row r="257" customFormat="false" ht="23.85" hidden="false" customHeight="false" outlineLevel="0" collapsed="false">
      <c r="A257" s="10" t="s">
        <v>176</v>
      </c>
      <c r="B257" s="10" t="s">
        <v>1331</v>
      </c>
      <c r="C257" s="10" t="s">
        <v>1343</v>
      </c>
      <c r="D257" s="10" t="s">
        <v>302</v>
      </c>
      <c r="E257" s="10" t="s">
        <v>1344</v>
      </c>
      <c r="F257" s="10" t="s">
        <v>292</v>
      </c>
      <c r="G257" s="10" t="s">
        <v>849</v>
      </c>
      <c r="H257" s="10" t="s">
        <v>312</v>
      </c>
      <c r="I257" s="10" t="s">
        <v>44</v>
      </c>
      <c r="J257" s="10" t="s">
        <v>850</v>
      </c>
      <c r="K257" s="10" t="s">
        <v>296</v>
      </c>
      <c r="L257" s="10" t="s">
        <v>1345</v>
      </c>
      <c r="M257" s="10" t="s">
        <v>1346</v>
      </c>
    </row>
    <row r="258" customFormat="false" ht="23.85" hidden="false" customHeight="false" outlineLevel="0" collapsed="false">
      <c r="A258" s="10" t="s">
        <v>176</v>
      </c>
      <c r="B258" s="10" t="s">
        <v>1331</v>
      </c>
      <c r="C258" s="10" t="s">
        <v>1347</v>
      </c>
      <c r="D258" s="10" t="s">
        <v>302</v>
      </c>
      <c r="E258" s="10" t="s">
        <v>1348</v>
      </c>
      <c r="F258" s="10" t="s">
        <v>292</v>
      </c>
      <c r="G258" s="10" t="s">
        <v>849</v>
      </c>
      <c r="H258" s="10" t="s">
        <v>312</v>
      </c>
      <c r="I258" s="10" t="s">
        <v>44</v>
      </c>
      <c r="J258" s="10" t="s">
        <v>313</v>
      </c>
      <c r="K258" s="10" t="s">
        <v>296</v>
      </c>
      <c r="L258" s="10" t="s">
        <v>1349</v>
      </c>
      <c r="M258" s="10" t="s">
        <v>1350</v>
      </c>
    </row>
    <row r="259" customFormat="false" ht="46.25" hidden="false" customHeight="false" outlineLevel="0" collapsed="false">
      <c r="A259" s="10" t="s">
        <v>36</v>
      </c>
      <c r="B259" s="10" t="s">
        <v>1351</v>
      </c>
      <c r="C259" s="10" t="s">
        <v>391</v>
      </c>
      <c r="D259" s="10" t="s">
        <v>392</v>
      </c>
      <c r="E259" s="10" t="s">
        <v>393</v>
      </c>
      <c r="F259" s="10" t="s">
        <v>304</v>
      </c>
      <c r="G259" s="10" t="s">
        <v>213</v>
      </c>
      <c r="H259" s="10" t="s">
        <v>407</v>
      </c>
      <c r="I259" s="10" t="s">
        <v>44</v>
      </c>
      <c r="J259" s="10" t="s">
        <v>395</v>
      </c>
      <c r="K259" s="10" t="s">
        <v>296</v>
      </c>
      <c r="L259" s="10" t="s">
        <v>396</v>
      </c>
      <c r="M259" s="10" t="s">
        <v>397</v>
      </c>
    </row>
    <row r="260" customFormat="false" ht="35.05" hidden="false" customHeight="false" outlineLevel="0" collapsed="false">
      <c r="A260" s="10" t="s">
        <v>36</v>
      </c>
      <c r="B260" s="10" t="s">
        <v>1351</v>
      </c>
      <c r="C260" s="10" t="s">
        <v>409</v>
      </c>
      <c r="D260" s="10" t="s">
        <v>410</v>
      </c>
      <c r="E260" s="10" t="s">
        <v>411</v>
      </c>
      <c r="F260" s="10" t="s">
        <v>356</v>
      </c>
      <c r="G260" s="10" t="s">
        <v>213</v>
      </c>
      <c r="H260" s="10" t="s">
        <v>412</v>
      </c>
      <c r="I260" s="10" t="s">
        <v>44</v>
      </c>
      <c r="J260" s="10" t="s">
        <v>413</v>
      </c>
      <c r="K260" s="10" t="s">
        <v>296</v>
      </c>
      <c r="L260" s="10" t="s">
        <v>414</v>
      </c>
      <c r="M260" s="10" t="s">
        <v>415</v>
      </c>
    </row>
    <row r="261" customFormat="false" ht="35.05" hidden="false" customHeight="false" outlineLevel="0" collapsed="false">
      <c r="A261" s="10" t="s">
        <v>36</v>
      </c>
      <c r="B261" s="10" t="s">
        <v>1351</v>
      </c>
      <c r="C261" s="10" t="s">
        <v>416</v>
      </c>
      <c r="D261" s="10" t="s">
        <v>417</v>
      </c>
      <c r="E261" s="10" t="s">
        <v>418</v>
      </c>
      <c r="F261" s="10" t="s">
        <v>356</v>
      </c>
      <c r="G261" s="10" t="s">
        <v>213</v>
      </c>
      <c r="H261" s="11" t="s">
        <v>419</v>
      </c>
      <c r="I261" s="10" t="s">
        <v>44</v>
      </c>
      <c r="J261" s="10" t="s">
        <v>413</v>
      </c>
      <c r="K261" s="10" t="s">
        <v>296</v>
      </c>
      <c r="L261" s="10" t="s">
        <v>414</v>
      </c>
      <c r="M261" s="10" t="s">
        <v>420</v>
      </c>
    </row>
    <row r="262" customFormat="false" ht="35.05" hidden="false" customHeight="false" outlineLevel="0" collapsed="false">
      <c r="A262" s="10" t="s">
        <v>36</v>
      </c>
      <c r="B262" s="10" t="s">
        <v>1351</v>
      </c>
      <c r="C262" s="10" t="s">
        <v>332</v>
      </c>
      <c r="D262" s="10" t="s">
        <v>333</v>
      </c>
      <c r="E262" s="10" t="s">
        <v>334</v>
      </c>
      <c r="F262" s="10" t="s">
        <v>304</v>
      </c>
      <c r="G262" s="10" t="s">
        <v>213</v>
      </c>
      <c r="H262" s="10" t="s">
        <v>421</v>
      </c>
      <c r="I262" s="10" t="s">
        <v>44</v>
      </c>
      <c r="J262" s="10" t="s">
        <v>337</v>
      </c>
      <c r="K262" s="10" t="s">
        <v>296</v>
      </c>
      <c r="L262" s="10" t="s">
        <v>338</v>
      </c>
      <c r="M262" s="10" t="s">
        <v>339</v>
      </c>
    </row>
    <row r="263" customFormat="false" ht="35.05" hidden="false" customHeight="false" outlineLevel="0" collapsed="false">
      <c r="A263" s="10" t="s">
        <v>36</v>
      </c>
      <c r="B263" s="10" t="s">
        <v>1351</v>
      </c>
      <c r="C263" s="10" t="s">
        <v>422</v>
      </c>
      <c r="D263" s="10" t="s">
        <v>423</v>
      </c>
      <c r="E263" s="10" t="s">
        <v>424</v>
      </c>
      <c r="F263" s="10" t="s">
        <v>356</v>
      </c>
      <c r="G263" s="10" t="s">
        <v>213</v>
      </c>
      <c r="H263" s="10" t="s">
        <v>425</v>
      </c>
      <c r="I263" s="10" t="s">
        <v>44</v>
      </c>
      <c r="J263" s="10" t="s">
        <v>337</v>
      </c>
      <c r="K263" s="10" t="s">
        <v>296</v>
      </c>
      <c r="L263" s="10" t="s">
        <v>426</v>
      </c>
      <c r="M263" s="10" t="s">
        <v>427</v>
      </c>
    </row>
    <row r="264" customFormat="false" ht="35.05" hidden="false" customHeight="false" outlineLevel="0" collapsed="false">
      <c r="A264" s="10" t="s">
        <v>36</v>
      </c>
      <c r="B264" s="10" t="s">
        <v>1351</v>
      </c>
      <c r="C264" s="10" t="s">
        <v>428</v>
      </c>
      <c r="D264" s="10" t="s">
        <v>363</v>
      </c>
      <c r="E264" s="10" t="s">
        <v>429</v>
      </c>
      <c r="F264" s="10" t="s">
        <v>356</v>
      </c>
      <c r="G264" s="10" t="s">
        <v>213</v>
      </c>
      <c r="H264" s="10" t="s">
        <v>425</v>
      </c>
      <c r="I264" s="10" t="s">
        <v>44</v>
      </c>
      <c r="J264" s="10" t="s">
        <v>337</v>
      </c>
      <c r="K264" s="10" t="s">
        <v>296</v>
      </c>
      <c r="L264" s="10" t="s">
        <v>430</v>
      </c>
      <c r="M264" s="10" t="s">
        <v>431</v>
      </c>
    </row>
    <row r="265" customFormat="false" ht="35.05" hidden="false" customHeight="false" outlineLevel="0" collapsed="false">
      <c r="A265" s="10" t="s">
        <v>36</v>
      </c>
      <c r="B265" s="10" t="s">
        <v>1351</v>
      </c>
      <c r="C265" s="10" t="s">
        <v>432</v>
      </c>
      <c r="D265" s="10" t="s">
        <v>363</v>
      </c>
      <c r="E265" s="10" t="s">
        <v>433</v>
      </c>
      <c r="F265" s="10" t="s">
        <v>356</v>
      </c>
      <c r="G265" s="10" t="s">
        <v>213</v>
      </c>
      <c r="H265" s="10" t="s">
        <v>434</v>
      </c>
      <c r="I265" s="10" t="s">
        <v>44</v>
      </c>
      <c r="J265" s="10" t="s">
        <v>435</v>
      </c>
      <c r="K265" s="10" t="s">
        <v>296</v>
      </c>
      <c r="L265" s="10" t="s">
        <v>436</v>
      </c>
      <c r="M265" s="10" t="s">
        <v>437</v>
      </c>
    </row>
    <row r="266" customFormat="false" ht="35.05" hidden="false" customHeight="false" outlineLevel="0" collapsed="false">
      <c r="A266" s="10" t="s">
        <v>36</v>
      </c>
      <c r="B266" s="10" t="s">
        <v>1351</v>
      </c>
      <c r="C266" s="10" t="s">
        <v>438</v>
      </c>
      <c r="D266" s="10" t="s">
        <v>439</v>
      </c>
      <c r="E266" s="10" t="s">
        <v>440</v>
      </c>
      <c r="F266" s="10" t="s">
        <v>441</v>
      </c>
      <c r="G266" s="10" t="s">
        <v>442</v>
      </c>
      <c r="H266" s="10" t="s">
        <v>443</v>
      </c>
      <c r="I266" s="10" t="s">
        <v>44</v>
      </c>
      <c r="J266" s="10" t="s">
        <v>444</v>
      </c>
      <c r="K266" s="10" t="s">
        <v>296</v>
      </c>
      <c r="L266" s="10" t="s">
        <v>445</v>
      </c>
      <c r="M266" s="10" t="s">
        <v>446</v>
      </c>
    </row>
    <row r="267" customFormat="false" ht="35.05" hidden="false" customHeight="false" outlineLevel="0" collapsed="false">
      <c r="A267" s="10" t="s">
        <v>36</v>
      </c>
      <c r="B267" s="10" t="s">
        <v>1352</v>
      </c>
      <c r="C267" s="10" t="s">
        <v>332</v>
      </c>
      <c r="D267" s="10" t="s">
        <v>333</v>
      </c>
      <c r="E267" s="10" t="s">
        <v>334</v>
      </c>
      <c r="F267" s="10" t="s">
        <v>304</v>
      </c>
      <c r="G267" s="10" t="s">
        <v>213</v>
      </c>
      <c r="H267" s="10" t="s">
        <v>467</v>
      </c>
      <c r="I267" s="10" t="s">
        <v>44</v>
      </c>
      <c r="J267" s="10" t="s">
        <v>337</v>
      </c>
      <c r="K267" s="10" t="s">
        <v>296</v>
      </c>
      <c r="L267" s="10" t="s">
        <v>338</v>
      </c>
      <c r="M267" s="10" t="s">
        <v>339</v>
      </c>
    </row>
    <row r="268" customFormat="false" ht="23.85" hidden="false" customHeight="false" outlineLevel="0" collapsed="false">
      <c r="A268" s="10" t="s">
        <v>36</v>
      </c>
      <c r="B268" s="10" t="s">
        <v>1352</v>
      </c>
      <c r="C268" s="10" t="s">
        <v>422</v>
      </c>
      <c r="D268" s="10" t="s">
        <v>423</v>
      </c>
      <c r="E268" s="10" t="s">
        <v>424</v>
      </c>
      <c r="F268" s="10" t="s">
        <v>356</v>
      </c>
      <c r="G268" s="10" t="s">
        <v>213</v>
      </c>
      <c r="H268" s="10" t="s">
        <v>469</v>
      </c>
      <c r="I268" s="10" t="s">
        <v>44</v>
      </c>
      <c r="J268" s="10" t="s">
        <v>337</v>
      </c>
      <c r="K268" s="10" t="s">
        <v>296</v>
      </c>
      <c r="L268" s="10" t="s">
        <v>426</v>
      </c>
      <c r="M268" s="10" t="s">
        <v>427</v>
      </c>
    </row>
    <row r="269" customFormat="false" ht="23.85" hidden="false" customHeight="false" outlineLevel="0" collapsed="false">
      <c r="A269" s="10" t="s">
        <v>84</v>
      </c>
      <c r="B269" s="10" t="s">
        <v>1352</v>
      </c>
      <c r="C269" s="10" t="s">
        <v>471</v>
      </c>
      <c r="D269" s="10" t="s">
        <v>472</v>
      </c>
      <c r="E269" s="10" t="s">
        <v>473</v>
      </c>
      <c r="F269" s="10" t="s">
        <v>356</v>
      </c>
      <c r="G269" s="10" t="s">
        <v>213</v>
      </c>
      <c r="H269" s="11" t="s">
        <v>474</v>
      </c>
      <c r="I269" s="10" t="s">
        <v>44</v>
      </c>
      <c r="J269" s="10" t="s">
        <v>337</v>
      </c>
      <c r="K269" s="10" t="s">
        <v>296</v>
      </c>
      <c r="L269" s="10" t="s">
        <v>1122</v>
      </c>
      <c r="M269" s="10" t="s">
        <v>476</v>
      </c>
    </row>
    <row r="270" customFormat="false" ht="23.85" hidden="false" customHeight="false" outlineLevel="0" collapsed="false">
      <c r="A270" s="10" t="s">
        <v>36</v>
      </c>
      <c r="B270" s="10" t="s">
        <v>1352</v>
      </c>
      <c r="C270" s="10" t="s">
        <v>428</v>
      </c>
      <c r="D270" s="10" t="s">
        <v>363</v>
      </c>
      <c r="E270" s="10" t="s">
        <v>429</v>
      </c>
      <c r="F270" s="10" t="s">
        <v>356</v>
      </c>
      <c r="G270" s="10" t="s">
        <v>213</v>
      </c>
      <c r="H270" s="10" t="s">
        <v>477</v>
      </c>
      <c r="I270" s="10" t="s">
        <v>44</v>
      </c>
      <c r="J270" s="10" t="s">
        <v>337</v>
      </c>
      <c r="K270" s="10" t="s">
        <v>296</v>
      </c>
      <c r="L270" s="10" t="s">
        <v>430</v>
      </c>
      <c r="M270" s="10" t="s">
        <v>431</v>
      </c>
    </row>
    <row r="271" customFormat="false" ht="35.05" hidden="false" customHeight="false" outlineLevel="0" collapsed="false">
      <c r="A271" s="10" t="s">
        <v>36</v>
      </c>
      <c r="B271" s="10" t="s">
        <v>1352</v>
      </c>
      <c r="C271" s="10" t="s">
        <v>432</v>
      </c>
      <c r="D271" s="10" t="s">
        <v>363</v>
      </c>
      <c r="E271" s="10" t="s">
        <v>433</v>
      </c>
      <c r="F271" s="10" t="s">
        <v>356</v>
      </c>
      <c r="G271" s="10" t="s">
        <v>213</v>
      </c>
      <c r="H271" s="10" t="s">
        <v>434</v>
      </c>
      <c r="I271" s="10" t="s">
        <v>44</v>
      </c>
      <c r="J271" s="10" t="s">
        <v>435</v>
      </c>
      <c r="K271" s="10" t="s">
        <v>296</v>
      </c>
      <c r="L271" s="10" t="s">
        <v>436</v>
      </c>
      <c r="M271" s="10" t="s">
        <v>437</v>
      </c>
    </row>
    <row r="272" customFormat="false" ht="23.85" hidden="false" customHeight="false" outlineLevel="0" collapsed="false">
      <c r="A272" s="10" t="s">
        <v>84</v>
      </c>
      <c r="B272" s="10" t="s">
        <v>1352</v>
      </c>
      <c r="C272" s="10" t="s">
        <v>853</v>
      </c>
      <c r="D272" s="10" t="s">
        <v>854</v>
      </c>
      <c r="E272" s="10" t="s">
        <v>855</v>
      </c>
      <c r="F272" s="10" t="s">
        <v>441</v>
      </c>
      <c r="G272" s="10" t="s">
        <v>442</v>
      </c>
      <c r="H272" s="10" t="s">
        <v>856</v>
      </c>
      <c r="I272" s="10" t="s">
        <v>44</v>
      </c>
      <c r="J272" s="10" t="s">
        <v>857</v>
      </c>
      <c r="K272" s="10" t="s">
        <v>296</v>
      </c>
      <c r="L272" s="10" t="s">
        <v>1353</v>
      </c>
      <c r="M272" s="10" t="s">
        <v>859</v>
      </c>
    </row>
    <row r="273" customFormat="false" ht="23.85" hidden="false" customHeight="false" outlineLevel="0" collapsed="false">
      <c r="A273" s="10" t="s">
        <v>36</v>
      </c>
      <c r="B273" s="10" t="s">
        <v>1352</v>
      </c>
      <c r="C273" s="10" t="s">
        <v>1354</v>
      </c>
      <c r="D273" s="10" t="s">
        <v>302</v>
      </c>
      <c r="E273" s="10" t="s">
        <v>1355</v>
      </c>
      <c r="F273" s="10" t="s">
        <v>441</v>
      </c>
      <c r="G273" s="10" t="s">
        <v>442</v>
      </c>
      <c r="H273" s="10" t="s">
        <v>1356</v>
      </c>
      <c r="I273" s="10" t="s">
        <v>44</v>
      </c>
      <c r="J273" s="10" t="s">
        <v>1357</v>
      </c>
      <c r="K273" s="10" t="s">
        <v>296</v>
      </c>
      <c r="L273" s="10" t="s">
        <v>1358</v>
      </c>
      <c r="M273" s="10" t="s">
        <v>1359</v>
      </c>
    </row>
    <row r="274" customFormat="false" ht="35.05" hidden="false" customHeight="false" outlineLevel="0" collapsed="false">
      <c r="A274" s="10" t="s">
        <v>36</v>
      </c>
      <c r="B274" s="10" t="s">
        <v>1352</v>
      </c>
      <c r="C274" s="10" t="s">
        <v>860</v>
      </c>
      <c r="D274" s="10" t="s">
        <v>302</v>
      </c>
      <c r="E274" s="10" t="s">
        <v>861</v>
      </c>
      <c r="F274" s="10" t="s">
        <v>343</v>
      </c>
      <c r="G274" s="10" t="s">
        <v>344</v>
      </c>
      <c r="H274" s="10" t="s">
        <v>862</v>
      </c>
      <c r="I274" s="10" t="s">
        <v>44</v>
      </c>
      <c r="J274" s="10" t="s">
        <v>863</v>
      </c>
      <c r="K274" s="10" t="s">
        <v>296</v>
      </c>
      <c r="L274" s="10" t="s">
        <v>1360</v>
      </c>
      <c r="M274" s="10" t="s">
        <v>865</v>
      </c>
    </row>
    <row r="275" customFormat="false" ht="35.05" hidden="false" customHeight="false" outlineLevel="0" collapsed="false">
      <c r="A275" s="10" t="s">
        <v>36</v>
      </c>
      <c r="B275" s="10" t="s">
        <v>1352</v>
      </c>
      <c r="C275" s="10" t="s">
        <v>866</v>
      </c>
      <c r="D275" s="10" t="s">
        <v>302</v>
      </c>
      <c r="E275" s="10" t="s">
        <v>867</v>
      </c>
      <c r="F275" s="10" t="s">
        <v>343</v>
      </c>
      <c r="G275" s="10" t="s">
        <v>344</v>
      </c>
      <c r="H275" s="10" t="s">
        <v>868</v>
      </c>
      <c r="I275" s="10" t="s">
        <v>44</v>
      </c>
      <c r="J275" s="10" t="s">
        <v>353</v>
      </c>
      <c r="K275" s="10" t="s">
        <v>296</v>
      </c>
      <c r="L275" s="10" t="s">
        <v>1360</v>
      </c>
      <c r="M275" s="10" t="s">
        <v>865</v>
      </c>
    </row>
    <row r="276" customFormat="false" ht="23.85" hidden="false" customHeight="false" outlineLevel="0" collapsed="false">
      <c r="A276" s="10" t="s">
        <v>36</v>
      </c>
      <c r="B276" s="10" t="s">
        <v>1352</v>
      </c>
      <c r="C276" s="10" t="s">
        <v>869</v>
      </c>
      <c r="D276" s="10" t="s">
        <v>302</v>
      </c>
      <c r="E276" s="10" t="s">
        <v>870</v>
      </c>
      <c r="F276" s="10" t="s">
        <v>292</v>
      </c>
      <c r="G276" s="10" t="s">
        <v>871</v>
      </c>
      <c r="H276" s="10" t="s">
        <v>872</v>
      </c>
      <c r="I276" s="10" t="s">
        <v>44</v>
      </c>
      <c r="J276" s="10" t="s">
        <v>873</v>
      </c>
      <c r="K276" s="10" t="s">
        <v>296</v>
      </c>
      <c r="L276" s="10" t="s">
        <v>1361</v>
      </c>
      <c r="M276" s="10" t="s">
        <v>875</v>
      </c>
    </row>
    <row r="277" customFormat="false" ht="46.25" hidden="false" customHeight="false" outlineLevel="0" collapsed="false">
      <c r="A277" s="10" t="s">
        <v>36</v>
      </c>
      <c r="B277" s="10" t="s">
        <v>1362</v>
      </c>
      <c r="C277" s="10" t="s">
        <v>391</v>
      </c>
      <c r="D277" s="10" t="s">
        <v>392</v>
      </c>
      <c r="E277" s="10" t="s">
        <v>393</v>
      </c>
      <c r="F277" s="10" t="s">
        <v>304</v>
      </c>
      <c r="G277" s="10" t="s">
        <v>213</v>
      </c>
      <c r="H277" s="10" t="s">
        <v>407</v>
      </c>
      <c r="I277" s="10" t="s">
        <v>44</v>
      </c>
      <c r="J277" s="10" t="s">
        <v>395</v>
      </c>
      <c r="K277" s="10" t="s">
        <v>296</v>
      </c>
      <c r="L277" s="10" t="s">
        <v>396</v>
      </c>
      <c r="M277" s="10" t="s">
        <v>397</v>
      </c>
    </row>
    <row r="278" customFormat="false" ht="46.25" hidden="false" customHeight="false" outlineLevel="0" collapsed="false">
      <c r="A278" s="10" t="s">
        <v>36</v>
      </c>
      <c r="B278" s="10" t="s">
        <v>1362</v>
      </c>
      <c r="C278" s="10" t="s">
        <v>332</v>
      </c>
      <c r="D278" s="10" t="s">
        <v>333</v>
      </c>
      <c r="E278" s="10" t="s">
        <v>334</v>
      </c>
      <c r="F278" s="10" t="s">
        <v>304</v>
      </c>
      <c r="G278" s="10" t="s">
        <v>213</v>
      </c>
      <c r="H278" s="10" t="s">
        <v>421</v>
      </c>
      <c r="I278" s="10" t="s">
        <v>44</v>
      </c>
      <c r="J278" s="10" t="s">
        <v>337</v>
      </c>
      <c r="K278" s="10" t="s">
        <v>296</v>
      </c>
      <c r="L278" s="10" t="s">
        <v>338</v>
      </c>
      <c r="M278" s="10" t="s">
        <v>339</v>
      </c>
    </row>
    <row r="279" customFormat="false" ht="46.25" hidden="false" customHeight="false" outlineLevel="0" collapsed="false">
      <c r="A279" s="10" t="s">
        <v>819</v>
      </c>
      <c r="B279" s="10" t="s">
        <v>1362</v>
      </c>
      <c r="C279" s="10" t="s">
        <v>1363</v>
      </c>
      <c r="D279" s="10" t="s">
        <v>302</v>
      </c>
      <c r="E279" s="10" t="s">
        <v>1364</v>
      </c>
      <c r="F279" s="10" t="s">
        <v>356</v>
      </c>
      <c r="G279" s="10" t="s">
        <v>213</v>
      </c>
      <c r="H279" s="10" t="s">
        <v>1365</v>
      </c>
      <c r="I279" s="10" t="s">
        <v>44</v>
      </c>
      <c r="J279" s="10" t="s">
        <v>337</v>
      </c>
      <c r="K279" s="10" t="s">
        <v>296</v>
      </c>
      <c r="L279" s="10" t="s">
        <v>1366</v>
      </c>
      <c r="M279" s="10" t="s">
        <v>1367</v>
      </c>
    </row>
    <row r="280" customFormat="false" ht="46.25" hidden="false" customHeight="false" outlineLevel="0" collapsed="false">
      <c r="A280" s="10" t="s">
        <v>819</v>
      </c>
      <c r="B280" s="10" t="s">
        <v>1362</v>
      </c>
      <c r="C280" s="10" t="s">
        <v>1368</v>
      </c>
      <c r="D280" s="10" t="s">
        <v>302</v>
      </c>
      <c r="E280" s="10" t="s">
        <v>1369</v>
      </c>
      <c r="F280" s="10" t="s">
        <v>441</v>
      </c>
      <c r="G280" s="10" t="s">
        <v>1370</v>
      </c>
      <c r="H280" s="10" t="s">
        <v>1371</v>
      </c>
      <c r="I280" s="10" t="s">
        <v>44</v>
      </c>
      <c r="J280" s="10" t="s">
        <v>1372</v>
      </c>
      <c r="K280" s="10" t="s">
        <v>296</v>
      </c>
      <c r="L280" s="10" t="s">
        <v>1373</v>
      </c>
      <c r="M280" s="10" t="s">
        <v>1374</v>
      </c>
    </row>
    <row r="281" customFormat="false" ht="46.25" hidden="false" customHeight="false" outlineLevel="0" collapsed="false">
      <c r="A281" s="10" t="s">
        <v>36</v>
      </c>
      <c r="B281" s="10" t="s">
        <v>1375</v>
      </c>
      <c r="C281" s="10" t="s">
        <v>332</v>
      </c>
      <c r="D281" s="10" t="s">
        <v>333</v>
      </c>
      <c r="E281" s="10" t="s">
        <v>334</v>
      </c>
      <c r="F281" s="10" t="s">
        <v>304</v>
      </c>
      <c r="G281" s="10" t="s">
        <v>213</v>
      </c>
      <c r="H281" s="10" t="s">
        <v>467</v>
      </c>
      <c r="I281" s="10" t="s">
        <v>44</v>
      </c>
      <c r="J281" s="10" t="s">
        <v>337</v>
      </c>
      <c r="K281" s="10" t="s">
        <v>296</v>
      </c>
      <c r="L281" s="10" t="s">
        <v>338</v>
      </c>
      <c r="M281" s="10" t="s">
        <v>339</v>
      </c>
    </row>
    <row r="282" customFormat="false" ht="46.25" hidden="false" customHeight="false" outlineLevel="0" collapsed="false">
      <c r="A282" s="10" t="s">
        <v>36</v>
      </c>
      <c r="B282" s="10" t="s">
        <v>1375</v>
      </c>
      <c r="C282" s="10" t="s">
        <v>422</v>
      </c>
      <c r="D282" s="10" t="s">
        <v>423</v>
      </c>
      <c r="E282" s="10" t="s">
        <v>424</v>
      </c>
      <c r="F282" s="10" t="s">
        <v>356</v>
      </c>
      <c r="G282" s="10" t="s">
        <v>213</v>
      </c>
      <c r="H282" s="10" t="s">
        <v>469</v>
      </c>
      <c r="I282" s="10" t="s">
        <v>44</v>
      </c>
      <c r="J282" s="10" t="s">
        <v>337</v>
      </c>
      <c r="K282" s="10" t="s">
        <v>296</v>
      </c>
      <c r="L282" s="10" t="s">
        <v>426</v>
      </c>
      <c r="M282" s="10" t="s">
        <v>427</v>
      </c>
    </row>
    <row r="283" customFormat="false" ht="46.25" hidden="false" customHeight="false" outlineLevel="0" collapsed="false">
      <c r="A283" s="10" t="s">
        <v>84</v>
      </c>
      <c r="B283" s="10" t="s">
        <v>1375</v>
      </c>
      <c r="C283" s="10" t="s">
        <v>471</v>
      </c>
      <c r="D283" s="10" t="s">
        <v>472</v>
      </c>
      <c r="E283" s="10" t="s">
        <v>473</v>
      </c>
      <c r="F283" s="10" t="s">
        <v>356</v>
      </c>
      <c r="G283" s="10" t="s">
        <v>213</v>
      </c>
      <c r="H283" s="11" t="s">
        <v>474</v>
      </c>
      <c r="I283" s="10" t="s">
        <v>44</v>
      </c>
      <c r="J283" s="10" t="s">
        <v>337</v>
      </c>
      <c r="K283" s="10" t="s">
        <v>296</v>
      </c>
      <c r="L283" s="10" t="s">
        <v>1122</v>
      </c>
      <c r="M283" s="10" t="s">
        <v>476</v>
      </c>
    </row>
    <row r="284" customFormat="false" ht="46.25" hidden="false" customHeight="false" outlineLevel="0" collapsed="false">
      <c r="A284" s="10" t="s">
        <v>36</v>
      </c>
      <c r="B284" s="10" t="s">
        <v>1375</v>
      </c>
      <c r="C284" s="10" t="s">
        <v>428</v>
      </c>
      <c r="D284" s="10" t="s">
        <v>363</v>
      </c>
      <c r="E284" s="10" t="s">
        <v>429</v>
      </c>
      <c r="F284" s="10" t="s">
        <v>356</v>
      </c>
      <c r="G284" s="10" t="s">
        <v>213</v>
      </c>
      <c r="H284" s="10" t="s">
        <v>477</v>
      </c>
      <c r="I284" s="10" t="s">
        <v>44</v>
      </c>
      <c r="J284" s="10" t="s">
        <v>337</v>
      </c>
      <c r="K284" s="10" t="s">
        <v>296</v>
      </c>
      <c r="L284" s="10" t="s">
        <v>430</v>
      </c>
      <c r="M284" s="10" t="s">
        <v>431</v>
      </c>
    </row>
    <row r="285" customFormat="false" ht="46.25" hidden="false" customHeight="false" outlineLevel="0" collapsed="false">
      <c r="A285" s="10" t="s">
        <v>36</v>
      </c>
      <c r="B285" s="10" t="s">
        <v>1375</v>
      </c>
      <c r="C285" s="10" t="s">
        <v>432</v>
      </c>
      <c r="D285" s="10" t="s">
        <v>363</v>
      </c>
      <c r="E285" s="10" t="s">
        <v>433</v>
      </c>
      <c r="F285" s="10" t="s">
        <v>356</v>
      </c>
      <c r="G285" s="10" t="s">
        <v>213</v>
      </c>
      <c r="H285" s="10" t="s">
        <v>434</v>
      </c>
      <c r="I285" s="10" t="s">
        <v>44</v>
      </c>
      <c r="J285" s="10" t="s">
        <v>435</v>
      </c>
      <c r="K285" s="10" t="s">
        <v>296</v>
      </c>
      <c r="L285" s="10" t="s">
        <v>436</v>
      </c>
      <c r="M285" s="10" t="s">
        <v>437</v>
      </c>
    </row>
    <row r="286" customFormat="false" ht="46.25" hidden="false" customHeight="false" outlineLevel="0" collapsed="false">
      <c r="A286" s="10" t="s">
        <v>95</v>
      </c>
      <c r="B286" s="10" t="s">
        <v>1375</v>
      </c>
      <c r="C286" s="10" t="s">
        <v>447</v>
      </c>
      <c r="D286" s="10" t="s">
        <v>302</v>
      </c>
      <c r="E286" s="10" t="s">
        <v>448</v>
      </c>
      <c r="F286" s="10" t="s">
        <v>292</v>
      </c>
      <c r="G286" s="10" t="s">
        <v>322</v>
      </c>
      <c r="H286" s="10" t="s">
        <v>752</v>
      </c>
      <c r="I286" s="10" t="s">
        <v>44</v>
      </c>
      <c r="J286" s="10" t="s">
        <v>753</v>
      </c>
      <c r="K286" s="10" t="s">
        <v>296</v>
      </c>
      <c r="L286" s="10" t="s">
        <v>451</v>
      </c>
      <c r="M286" s="10" t="s">
        <v>452</v>
      </c>
    </row>
    <row r="287" customFormat="false" ht="46.25" hidden="false" customHeight="false" outlineLevel="0" collapsed="false">
      <c r="A287" s="10" t="s">
        <v>95</v>
      </c>
      <c r="B287" s="10" t="s">
        <v>1375</v>
      </c>
      <c r="C287" s="10" t="s">
        <v>755</v>
      </c>
      <c r="D287" s="10" t="s">
        <v>302</v>
      </c>
      <c r="E287" s="10" t="s">
        <v>756</v>
      </c>
      <c r="F287" s="10" t="s">
        <v>292</v>
      </c>
      <c r="G287" s="10" t="s">
        <v>322</v>
      </c>
      <c r="H287" s="10" t="s">
        <v>757</v>
      </c>
      <c r="I287" s="10" t="s">
        <v>44</v>
      </c>
      <c r="J287" s="10" t="s">
        <v>758</v>
      </c>
      <c r="K287" s="10" t="s">
        <v>296</v>
      </c>
      <c r="L287" s="10" t="s">
        <v>1376</v>
      </c>
      <c r="M287" s="10" t="s">
        <v>760</v>
      </c>
    </row>
    <row r="288" customFormat="false" ht="46.25" hidden="false" customHeight="false" outlineLevel="0" collapsed="false">
      <c r="A288" s="10" t="s">
        <v>95</v>
      </c>
      <c r="B288" s="10" t="s">
        <v>1375</v>
      </c>
      <c r="C288" s="10" t="s">
        <v>761</v>
      </c>
      <c r="D288" s="10" t="s">
        <v>302</v>
      </c>
      <c r="E288" s="10" t="s">
        <v>762</v>
      </c>
      <c r="F288" s="10" t="s">
        <v>292</v>
      </c>
      <c r="G288" s="10" t="s">
        <v>322</v>
      </c>
      <c r="H288" s="10" t="s">
        <v>763</v>
      </c>
      <c r="I288" s="10" t="s">
        <v>44</v>
      </c>
      <c r="J288" s="10" t="s">
        <v>764</v>
      </c>
      <c r="K288" s="10" t="s">
        <v>296</v>
      </c>
      <c r="L288" s="10" t="s">
        <v>1377</v>
      </c>
      <c r="M288" s="10" t="s">
        <v>766</v>
      </c>
    </row>
    <row r="289" customFormat="false" ht="46.25" hidden="false" customHeight="false" outlineLevel="0" collapsed="false">
      <c r="A289" s="10" t="s">
        <v>95</v>
      </c>
      <c r="B289" s="10" t="s">
        <v>1375</v>
      </c>
      <c r="C289" s="10" t="s">
        <v>767</v>
      </c>
      <c r="D289" s="10" t="s">
        <v>302</v>
      </c>
      <c r="E289" s="10" t="s">
        <v>768</v>
      </c>
      <c r="F289" s="10" t="s">
        <v>292</v>
      </c>
      <c r="G289" s="10" t="s">
        <v>311</v>
      </c>
      <c r="H289" s="10" t="s">
        <v>769</v>
      </c>
      <c r="I289" s="10" t="s">
        <v>44</v>
      </c>
      <c r="J289" s="10" t="s">
        <v>770</v>
      </c>
      <c r="K289" s="10" t="s">
        <v>296</v>
      </c>
      <c r="L289" s="10" t="s">
        <v>1378</v>
      </c>
      <c r="M289" s="10" t="s">
        <v>772</v>
      </c>
    </row>
    <row r="290" customFormat="false" ht="46.25" hidden="false" customHeight="false" outlineLevel="0" collapsed="false">
      <c r="A290" s="10" t="s">
        <v>95</v>
      </c>
      <c r="B290" s="10" t="s">
        <v>1375</v>
      </c>
      <c r="C290" s="10" t="s">
        <v>773</v>
      </c>
      <c r="D290" s="10" t="s">
        <v>302</v>
      </c>
      <c r="E290" s="10" t="s">
        <v>774</v>
      </c>
      <c r="F290" s="10" t="s">
        <v>292</v>
      </c>
      <c r="G290" s="10" t="s">
        <v>322</v>
      </c>
      <c r="H290" s="10" t="s">
        <v>312</v>
      </c>
      <c r="I290" s="10" t="s">
        <v>44</v>
      </c>
      <c r="J290" s="10" t="s">
        <v>775</v>
      </c>
      <c r="K290" s="10" t="s">
        <v>296</v>
      </c>
      <c r="L290" s="10" t="s">
        <v>1379</v>
      </c>
      <c r="M290" s="10" t="s">
        <v>777</v>
      </c>
    </row>
    <row r="291" customFormat="false" ht="46.25" hidden="false" customHeight="false" outlineLevel="0" collapsed="false">
      <c r="A291" s="10" t="s">
        <v>95</v>
      </c>
      <c r="B291" s="10" t="s">
        <v>1375</v>
      </c>
      <c r="C291" s="10" t="s">
        <v>778</v>
      </c>
      <c r="D291" s="10" t="s">
        <v>302</v>
      </c>
      <c r="E291" s="10" t="s">
        <v>779</v>
      </c>
      <c r="F291" s="10" t="s">
        <v>292</v>
      </c>
      <c r="G291" s="10" t="s">
        <v>780</v>
      </c>
      <c r="H291" s="10" t="s">
        <v>781</v>
      </c>
      <c r="I291" s="10" t="s">
        <v>44</v>
      </c>
      <c r="J291" s="10" t="s">
        <v>782</v>
      </c>
      <c r="K291" s="10" t="s">
        <v>296</v>
      </c>
      <c r="L291" s="10" t="s">
        <v>1380</v>
      </c>
      <c r="M291" s="10" t="s">
        <v>784</v>
      </c>
    </row>
    <row r="292" customFormat="false" ht="46.25" hidden="false" customHeight="false" outlineLevel="0" collapsed="false">
      <c r="A292" s="10" t="s">
        <v>104</v>
      </c>
      <c r="B292" s="10" t="s">
        <v>1375</v>
      </c>
      <c r="C292" s="10" t="s">
        <v>785</v>
      </c>
      <c r="D292" s="10" t="s">
        <v>302</v>
      </c>
      <c r="E292" s="10" t="s">
        <v>786</v>
      </c>
      <c r="F292" s="10" t="s">
        <v>292</v>
      </c>
      <c r="G292" s="10" t="s">
        <v>318</v>
      </c>
      <c r="H292" s="10" t="s">
        <v>312</v>
      </c>
      <c r="I292" s="10" t="s">
        <v>44</v>
      </c>
      <c r="J292" s="10" t="s">
        <v>313</v>
      </c>
      <c r="K292" s="10" t="s">
        <v>296</v>
      </c>
      <c r="L292" s="10" t="s">
        <v>1381</v>
      </c>
      <c r="M292" s="10" t="s">
        <v>788</v>
      </c>
    </row>
    <row r="293" customFormat="false" ht="46.25" hidden="false" customHeight="false" outlineLevel="0" collapsed="false">
      <c r="A293" s="10" t="s">
        <v>95</v>
      </c>
      <c r="B293" s="10" t="s">
        <v>1375</v>
      </c>
      <c r="C293" s="10" t="s">
        <v>789</v>
      </c>
      <c r="D293" s="10" t="s">
        <v>302</v>
      </c>
      <c r="E293" s="10" t="s">
        <v>790</v>
      </c>
      <c r="F293" s="10" t="s">
        <v>292</v>
      </c>
      <c r="G293" s="10" t="s">
        <v>791</v>
      </c>
      <c r="H293" s="10" t="s">
        <v>792</v>
      </c>
      <c r="I293" s="10" t="s">
        <v>44</v>
      </c>
      <c r="J293" s="10" t="s">
        <v>793</v>
      </c>
      <c r="K293" s="10" t="s">
        <v>296</v>
      </c>
      <c r="L293" s="10" t="s">
        <v>1382</v>
      </c>
      <c r="M293" s="10" t="s">
        <v>795</v>
      </c>
    </row>
    <row r="294" customFormat="false" ht="46.25" hidden="false" customHeight="false" outlineLevel="0" collapsed="false">
      <c r="A294" s="10" t="s">
        <v>796</v>
      </c>
      <c r="B294" s="10" t="s">
        <v>1375</v>
      </c>
      <c r="C294" s="10" t="s">
        <v>797</v>
      </c>
      <c r="D294" s="10" t="s">
        <v>302</v>
      </c>
      <c r="E294" s="10" t="s">
        <v>798</v>
      </c>
      <c r="F294" s="10" t="s">
        <v>441</v>
      </c>
      <c r="G294" s="10" t="s">
        <v>455</v>
      </c>
      <c r="H294" s="10" t="s">
        <v>799</v>
      </c>
      <c r="I294" s="10" t="s">
        <v>44</v>
      </c>
      <c r="J294" s="10" t="s">
        <v>800</v>
      </c>
      <c r="K294" s="10" t="s">
        <v>296</v>
      </c>
      <c r="L294" s="10" t="s">
        <v>1383</v>
      </c>
      <c r="M294" s="10" t="s">
        <v>802</v>
      </c>
    </row>
    <row r="295" customFormat="false" ht="46.25" hidden="false" customHeight="false" outlineLevel="0" collapsed="false">
      <c r="A295" s="10" t="s">
        <v>803</v>
      </c>
      <c r="B295" s="10" t="s">
        <v>1375</v>
      </c>
      <c r="C295" s="10" t="s">
        <v>804</v>
      </c>
      <c r="D295" s="10" t="s">
        <v>302</v>
      </c>
      <c r="E295" s="10" t="s">
        <v>805</v>
      </c>
      <c r="F295" s="10" t="s">
        <v>441</v>
      </c>
      <c r="G295" s="10" t="s">
        <v>806</v>
      </c>
      <c r="H295" s="10" t="s">
        <v>807</v>
      </c>
      <c r="I295" s="10" t="s">
        <v>44</v>
      </c>
      <c r="J295" s="10" t="s">
        <v>808</v>
      </c>
      <c r="K295" s="10" t="s">
        <v>296</v>
      </c>
      <c r="L295" s="10" t="s">
        <v>1384</v>
      </c>
      <c r="M295" s="10" t="s">
        <v>810</v>
      </c>
    </row>
    <row r="296" customFormat="false" ht="46.25" hidden="false" customHeight="false" outlineLevel="0" collapsed="false">
      <c r="A296" s="10" t="s">
        <v>811</v>
      </c>
      <c r="B296" s="10" t="s">
        <v>1375</v>
      </c>
      <c r="C296" s="10" t="s">
        <v>812</v>
      </c>
      <c r="D296" s="10" t="s">
        <v>302</v>
      </c>
      <c r="E296" s="10" t="s">
        <v>813</v>
      </c>
      <c r="F296" s="10" t="s">
        <v>292</v>
      </c>
      <c r="G296" s="10" t="s">
        <v>814</v>
      </c>
      <c r="H296" s="10" t="s">
        <v>815</v>
      </c>
      <c r="I296" s="10" t="s">
        <v>336</v>
      </c>
      <c r="J296" s="10" t="s">
        <v>816</v>
      </c>
      <c r="K296" s="10" t="s">
        <v>296</v>
      </c>
      <c r="L296" s="10" t="s">
        <v>1385</v>
      </c>
      <c r="M296" s="10" t="s">
        <v>818</v>
      </c>
    </row>
    <row r="297" customFormat="false" ht="46.25" hidden="false" customHeight="false" outlineLevel="0" collapsed="false">
      <c r="A297" s="10" t="s">
        <v>819</v>
      </c>
      <c r="B297" s="10" t="s">
        <v>1375</v>
      </c>
      <c r="C297" s="10" t="s">
        <v>820</v>
      </c>
      <c r="D297" s="10" t="s">
        <v>302</v>
      </c>
      <c r="E297" s="10" t="s">
        <v>821</v>
      </c>
      <c r="F297" s="10" t="s">
        <v>441</v>
      </c>
      <c r="G297" s="10" t="s">
        <v>822</v>
      </c>
      <c r="H297" s="10" t="s">
        <v>823</v>
      </c>
      <c r="I297" s="10" t="s">
        <v>44</v>
      </c>
      <c r="J297" s="10" t="s">
        <v>824</v>
      </c>
      <c r="K297" s="10" t="s">
        <v>296</v>
      </c>
      <c r="L297" s="10" t="s">
        <v>1386</v>
      </c>
      <c r="M297" s="10" t="s">
        <v>826</v>
      </c>
    </row>
    <row r="298" customFormat="false" ht="35.05" hidden="false" customHeight="false" outlineLevel="0" collapsed="false">
      <c r="A298" s="10" t="s">
        <v>95</v>
      </c>
      <c r="B298" s="10" t="s">
        <v>1387</v>
      </c>
      <c r="C298" s="10" t="s">
        <v>1388</v>
      </c>
      <c r="D298" s="10" t="s">
        <v>1389</v>
      </c>
      <c r="E298" s="10" t="s">
        <v>1390</v>
      </c>
      <c r="F298" s="10" t="s">
        <v>304</v>
      </c>
      <c r="G298" s="10" t="s">
        <v>213</v>
      </c>
      <c r="H298" s="10" t="s">
        <v>1391</v>
      </c>
      <c r="I298" s="10" t="s">
        <v>44</v>
      </c>
      <c r="J298" s="10" t="s">
        <v>1392</v>
      </c>
      <c r="K298" s="10" t="s">
        <v>296</v>
      </c>
      <c r="L298" s="10" t="s">
        <v>414</v>
      </c>
      <c r="M298" s="10" t="s">
        <v>1393</v>
      </c>
    </row>
    <row r="299" customFormat="false" ht="35.05" hidden="false" customHeight="false" outlineLevel="0" collapsed="false">
      <c r="A299" s="10" t="s">
        <v>95</v>
      </c>
      <c r="B299" s="10" t="s">
        <v>1387</v>
      </c>
      <c r="C299" s="10" t="s">
        <v>409</v>
      </c>
      <c r="D299" s="10" t="s">
        <v>410</v>
      </c>
      <c r="E299" s="10" t="s">
        <v>411</v>
      </c>
      <c r="F299" s="10" t="s">
        <v>356</v>
      </c>
      <c r="G299" s="10" t="s">
        <v>213</v>
      </c>
      <c r="H299" s="10" t="s">
        <v>1394</v>
      </c>
      <c r="I299" s="10" t="s">
        <v>44</v>
      </c>
      <c r="J299" s="10" t="s">
        <v>1392</v>
      </c>
      <c r="K299" s="10" t="s">
        <v>296</v>
      </c>
      <c r="L299" s="10" t="s">
        <v>414</v>
      </c>
      <c r="M299" s="10" t="s">
        <v>415</v>
      </c>
    </row>
    <row r="300" customFormat="false" ht="35.05" hidden="false" customHeight="false" outlineLevel="0" collapsed="false">
      <c r="A300" s="10" t="s">
        <v>95</v>
      </c>
      <c r="B300" s="10" t="s">
        <v>1387</v>
      </c>
      <c r="C300" s="10" t="s">
        <v>416</v>
      </c>
      <c r="D300" s="10" t="s">
        <v>417</v>
      </c>
      <c r="E300" s="10" t="s">
        <v>418</v>
      </c>
      <c r="F300" s="10" t="s">
        <v>356</v>
      </c>
      <c r="G300" s="10" t="s">
        <v>213</v>
      </c>
      <c r="H300" s="11" t="s">
        <v>1395</v>
      </c>
      <c r="I300" s="10" t="s">
        <v>44</v>
      </c>
      <c r="J300" s="10" t="s">
        <v>1392</v>
      </c>
      <c r="K300" s="10" t="s">
        <v>296</v>
      </c>
      <c r="L300" s="10" t="s">
        <v>414</v>
      </c>
      <c r="M300" s="10" t="s">
        <v>420</v>
      </c>
    </row>
    <row r="301" customFormat="false" ht="35.05" hidden="false" customHeight="false" outlineLevel="0" collapsed="false">
      <c r="A301" s="10" t="s">
        <v>95</v>
      </c>
      <c r="B301" s="10" t="s">
        <v>1387</v>
      </c>
      <c r="C301" s="10" t="s">
        <v>340</v>
      </c>
      <c r="D301" s="10" t="s">
        <v>341</v>
      </c>
      <c r="E301" s="10" t="s">
        <v>342</v>
      </c>
      <c r="F301" s="10" t="s">
        <v>343</v>
      </c>
      <c r="G301" s="10" t="s">
        <v>344</v>
      </c>
      <c r="H301" s="10" t="s">
        <v>1396</v>
      </c>
      <c r="I301" s="10" t="s">
        <v>44</v>
      </c>
      <c r="J301" s="10" t="s">
        <v>1397</v>
      </c>
      <c r="K301" s="10" t="s">
        <v>296</v>
      </c>
      <c r="L301" s="10" t="s">
        <v>347</v>
      </c>
      <c r="M301" s="10" t="s">
        <v>348</v>
      </c>
    </row>
    <row r="302" customFormat="false" ht="35.05" hidden="false" customHeight="false" outlineLevel="0" collapsed="false">
      <c r="A302" s="10" t="s">
        <v>95</v>
      </c>
      <c r="B302" s="10" t="s">
        <v>1387</v>
      </c>
      <c r="C302" s="10" t="s">
        <v>349</v>
      </c>
      <c r="D302" s="10" t="s">
        <v>350</v>
      </c>
      <c r="E302" s="10" t="s">
        <v>351</v>
      </c>
      <c r="F302" s="10" t="s">
        <v>343</v>
      </c>
      <c r="G302" s="10" t="s">
        <v>344</v>
      </c>
      <c r="H302" s="10" t="s">
        <v>1398</v>
      </c>
      <c r="I302" s="10" t="s">
        <v>44</v>
      </c>
      <c r="J302" s="10" t="s">
        <v>1399</v>
      </c>
      <c r="K302" s="10" t="s">
        <v>296</v>
      </c>
      <c r="L302" s="10" t="s">
        <v>347</v>
      </c>
      <c r="M302" s="10" t="s">
        <v>348</v>
      </c>
    </row>
    <row r="303" customFormat="false" ht="35.05" hidden="false" customHeight="false" outlineLevel="0" collapsed="false">
      <c r="A303" s="10" t="s">
        <v>95</v>
      </c>
      <c r="B303" s="10" t="s">
        <v>1387</v>
      </c>
      <c r="C303" s="10" t="s">
        <v>1400</v>
      </c>
      <c r="D303" s="10" t="s">
        <v>302</v>
      </c>
      <c r="E303" s="10" t="s">
        <v>1401</v>
      </c>
      <c r="F303" s="10" t="s">
        <v>292</v>
      </c>
      <c r="G303" s="10" t="s">
        <v>791</v>
      </c>
      <c r="H303" s="10" t="s">
        <v>830</v>
      </c>
      <c r="I303" s="10" t="s">
        <v>44</v>
      </c>
      <c r="J303" s="10" t="s">
        <v>1402</v>
      </c>
      <c r="K303" s="10" t="s">
        <v>296</v>
      </c>
      <c r="L303" s="10" t="s">
        <v>1403</v>
      </c>
      <c r="M303" s="10" t="s">
        <v>1404</v>
      </c>
    </row>
    <row r="304" customFormat="false" ht="35.05" hidden="false" customHeight="false" outlineLevel="0" collapsed="false">
      <c r="A304" s="10" t="s">
        <v>36</v>
      </c>
      <c r="B304" s="10" t="s">
        <v>1387</v>
      </c>
      <c r="C304" s="10" t="s">
        <v>332</v>
      </c>
      <c r="D304" s="10" t="s">
        <v>333</v>
      </c>
      <c r="E304" s="10" t="s">
        <v>334</v>
      </c>
      <c r="F304" s="10" t="s">
        <v>304</v>
      </c>
      <c r="G304" s="10" t="s">
        <v>213</v>
      </c>
      <c r="H304" s="10" t="s">
        <v>467</v>
      </c>
      <c r="I304" s="10" t="s">
        <v>44</v>
      </c>
      <c r="J304" s="10" t="s">
        <v>337</v>
      </c>
      <c r="K304" s="10" t="s">
        <v>296</v>
      </c>
      <c r="L304" s="10" t="s">
        <v>338</v>
      </c>
      <c r="M304" s="10" t="s">
        <v>339</v>
      </c>
    </row>
    <row r="305" customFormat="false" ht="46.25" hidden="false" customHeight="false" outlineLevel="0" collapsed="false">
      <c r="A305" s="10" t="s">
        <v>36</v>
      </c>
      <c r="B305" s="10" t="s">
        <v>1387</v>
      </c>
      <c r="C305" s="10" t="s">
        <v>391</v>
      </c>
      <c r="D305" s="10" t="s">
        <v>392</v>
      </c>
      <c r="E305" s="10" t="s">
        <v>393</v>
      </c>
      <c r="F305" s="10" t="s">
        <v>304</v>
      </c>
      <c r="G305" s="10" t="s">
        <v>213</v>
      </c>
      <c r="H305" s="10" t="s">
        <v>1405</v>
      </c>
      <c r="I305" s="10" t="s">
        <v>44</v>
      </c>
      <c r="J305" s="10" t="s">
        <v>395</v>
      </c>
      <c r="K305" s="10" t="s">
        <v>296</v>
      </c>
      <c r="L305" s="10" t="s">
        <v>396</v>
      </c>
      <c r="M305" s="10" t="s">
        <v>397</v>
      </c>
    </row>
    <row r="306" customFormat="false" ht="46.25" hidden="false" customHeight="false" outlineLevel="0" collapsed="false">
      <c r="A306" s="10" t="s">
        <v>104</v>
      </c>
      <c r="B306" s="10" t="s">
        <v>1406</v>
      </c>
      <c r="C306" s="10" t="s">
        <v>1407</v>
      </c>
      <c r="D306" s="10" t="s">
        <v>1408</v>
      </c>
      <c r="E306" s="10" t="s">
        <v>1409</v>
      </c>
      <c r="F306" s="10" t="s">
        <v>304</v>
      </c>
      <c r="G306" s="10" t="s">
        <v>213</v>
      </c>
      <c r="H306" s="10" t="s">
        <v>1410</v>
      </c>
      <c r="I306" s="10" t="s">
        <v>44</v>
      </c>
      <c r="J306" s="10" t="s">
        <v>337</v>
      </c>
      <c r="K306" s="10" t="s">
        <v>296</v>
      </c>
      <c r="L306" s="10" t="s">
        <v>1290</v>
      </c>
      <c r="M306" s="10" t="s">
        <v>1411</v>
      </c>
    </row>
    <row r="307" customFormat="false" ht="46.25" hidden="false" customHeight="false" outlineLevel="0" collapsed="false">
      <c r="A307" s="10" t="s">
        <v>104</v>
      </c>
      <c r="B307" s="10" t="s">
        <v>1406</v>
      </c>
      <c r="C307" s="10" t="s">
        <v>1412</v>
      </c>
      <c r="D307" s="10" t="s">
        <v>1413</v>
      </c>
      <c r="E307" s="10" t="s">
        <v>1414</v>
      </c>
      <c r="F307" s="10" t="s">
        <v>356</v>
      </c>
      <c r="G307" s="10" t="s">
        <v>213</v>
      </c>
      <c r="H307" s="11" t="s">
        <v>1415</v>
      </c>
      <c r="I307" s="10" t="s">
        <v>44</v>
      </c>
      <c r="J307" s="10" t="s">
        <v>337</v>
      </c>
      <c r="K307" s="10" t="s">
        <v>296</v>
      </c>
      <c r="L307" s="10" t="s">
        <v>1290</v>
      </c>
      <c r="M307" s="10" t="s">
        <v>1416</v>
      </c>
    </row>
    <row r="308" customFormat="false" ht="46.25" hidden="false" customHeight="false" outlineLevel="0" collapsed="false">
      <c r="A308" s="10" t="s">
        <v>104</v>
      </c>
      <c r="B308" s="10" t="s">
        <v>1406</v>
      </c>
      <c r="C308" s="10" t="s">
        <v>340</v>
      </c>
      <c r="D308" s="10" t="s">
        <v>341</v>
      </c>
      <c r="E308" s="10" t="s">
        <v>342</v>
      </c>
      <c r="F308" s="10" t="s">
        <v>343</v>
      </c>
      <c r="G308" s="10" t="s">
        <v>344</v>
      </c>
      <c r="H308" s="10" t="s">
        <v>1417</v>
      </c>
      <c r="I308" s="10" t="s">
        <v>44</v>
      </c>
      <c r="J308" s="10" t="s">
        <v>1418</v>
      </c>
      <c r="K308" s="10" t="s">
        <v>296</v>
      </c>
      <c r="L308" s="10" t="s">
        <v>347</v>
      </c>
      <c r="M308" s="10" t="s">
        <v>348</v>
      </c>
    </row>
    <row r="309" customFormat="false" ht="46.25" hidden="false" customHeight="false" outlineLevel="0" collapsed="false">
      <c r="A309" s="10" t="s">
        <v>104</v>
      </c>
      <c r="B309" s="10" t="s">
        <v>1406</v>
      </c>
      <c r="C309" s="10" t="s">
        <v>349</v>
      </c>
      <c r="D309" s="10" t="s">
        <v>350</v>
      </c>
      <c r="E309" s="10" t="s">
        <v>351</v>
      </c>
      <c r="F309" s="10" t="s">
        <v>343</v>
      </c>
      <c r="G309" s="10" t="s">
        <v>344</v>
      </c>
      <c r="H309" s="10" t="s">
        <v>1419</v>
      </c>
      <c r="I309" s="10" t="s">
        <v>44</v>
      </c>
      <c r="J309" s="10" t="s">
        <v>1399</v>
      </c>
      <c r="K309" s="10" t="s">
        <v>296</v>
      </c>
      <c r="L309" s="10" t="s">
        <v>347</v>
      </c>
      <c r="M309" s="10" t="s">
        <v>348</v>
      </c>
    </row>
    <row r="310" customFormat="false" ht="46.25" hidden="false" customHeight="false" outlineLevel="0" collapsed="false">
      <c r="A310" s="10" t="s">
        <v>104</v>
      </c>
      <c r="B310" s="10" t="s">
        <v>1406</v>
      </c>
      <c r="C310" s="10" t="s">
        <v>1420</v>
      </c>
      <c r="D310" s="10" t="s">
        <v>1192</v>
      </c>
      <c r="E310" s="10" t="s">
        <v>1421</v>
      </c>
      <c r="F310" s="10" t="s">
        <v>356</v>
      </c>
      <c r="G310" s="10" t="s">
        <v>213</v>
      </c>
      <c r="H310" s="10" t="s">
        <v>1422</v>
      </c>
      <c r="I310" s="10" t="s">
        <v>44</v>
      </c>
      <c r="J310" s="10" t="s">
        <v>1422</v>
      </c>
      <c r="K310" s="10" t="s">
        <v>296</v>
      </c>
      <c r="L310" s="10" t="s">
        <v>1423</v>
      </c>
      <c r="M310" s="10" t="s">
        <v>1424</v>
      </c>
    </row>
    <row r="311" customFormat="false" ht="46.25" hidden="false" customHeight="false" outlineLevel="0" collapsed="false">
      <c r="A311" s="10" t="s">
        <v>36</v>
      </c>
      <c r="B311" s="10" t="s">
        <v>1406</v>
      </c>
      <c r="C311" s="10" t="s">
        <v>391</v>
      </c>
      <c r="D311" s="10" t="s">
        <v>392</v>
      </c>
      <c r="E311" s="10" t="s">
        <v>393</v>
      </c>
      <c r="F311" s="10" t="s">
        <v>304</v>
      </c>
      <c r="G311" s="10" t="s">
        <v>213</v>
      </c>
      <c r="H311" s="10" t="s">
        <v>1425</v>
      </c>
      <c r="I311" s="10" t="s">
        <v>44</v>
      </c>
      <c r="J311" s="10" t="s">
        <v>395</v>
      </c>
      <c r="K311" s="10" t="s">
        <v>296</v>
      </c>
      <c r="L311" s="10" t="s">
        <v>396</v>
      </c>
      <c r="M311" s="10" t="s">
        <v>397</v>
      </c>
    </row>
    <row r="312" customFormat="false" ht="46.25" hidden="false" customHeight="false" outlineLevel="0" collapsed="false">
      <c r="A312" s="10" t="s">
        <v>36</v>
      </c>
      <c r="B312" s="10" t="s">
        <v>1406</v>
      </c>
      <c r="C312" s="10" t="s">
        <v>332</v>
      </c>
      <c r="D312" s="10" t="s">
        <v>333</v>
      </c>
      <c r="E312" s="10" t="s">
        <v>334</v>
      </c>
      <c r="F312" s="10" t="s">
        <v>304</v>
      </c>
      <c r="G312" s="10" t="s">
        <v>213</v>
      </c>
      <c r="H312" s="10" t="s">
        <v>1426</v>
      </c>
      <c r="I312" s="10" t="s">
        <v>44</v>
      </c>
      <c r="J312" s="10" t="s">
        <v>1302</v>
      </c>
      <c r="K312" s="10" t="s">
        <v>296</v>
      </c>
      <c r="L312" s="10" t="s">
        <v>338</v>
      </c>
      <c r="M312" s="10" t="s">
        <v>339</v>
      </c>
    </row>
    <row r="313" customFormat="false" ht="46.25" hidden="false" customHeight="false" outlineLevel="0" collapsed="false">
      <c r="A313" s="10" t="s">
        <v>104</v>
      </c>
      <c r="B313" s="10" t="s">
        <v>1406</v>
      </c>
      <c r="C313" s="10" t="s">
        <v>1427</v>
      </c>
      <c r="D313" s="10" t="s">
        <v>302</v>
      </c>
      <c r="E313" s="10" t="s">
        <v>1428</v>
      </c>
      <c r="F313" s="10" t="s">
        <v>1115</v>
      </c>
      <c r="G313" s="10" t="s">
        <v>1116</v>
      </c>
      <c r="H313" s="10" t="s">
        <v>1117</v>
      </c>
      <c r="I313" s="10" t="s">
        <v>44</v>
      </c>
      <c r="J313" s="10" t="s">
        <v>1118</v>
      </c>
      <c r="K313" s="10" t="s">
        <v>296</v>
      </c>
      <c r="L313" s="10" t="s">
        <v>1429</v>
      </c>
      <c r="M313" s="10" t="s">
        <v>1430</v>
      </c>
    </row>
    <row r="314" customFormat="false" ht="35.05" hidden="false" customHeight="false" outlineLevel="0" collapsed="false">
      <c r="A314" s="10" t="s">
        <v>95</v>
      </c>
      <c r="B314" s="10" t="s">
        <v>1431</v>
      </c>
      <c r="C314" s="10" t="s">
        <v>1432</v>
      </c>
      <c r="D314" s="10" t="s">
        <v>1433</v>
      </c>
      <c r="E314" s="10" t="s">
        <v>1434</v>
      </c>
      <c r="F314" s="10" t="s">
        <v>304</v>
      </c>
      <c r="G314" s="10" t="s">
        <v>213</v>
      </c>
      <c r="H314" s="10" t="s">
        <v>371</v>
      </c>
      <c r="I314" s="10" t="s">
        <v>44</v>
      </c>
      <c r="J314" s="10" t="s">
        <v>1435</v>
      </c>
      <c r="K314" s="10" t="s">
        <v>296</v>
      </c>
      <c r="L314" s="10" t="s">
        <v>1436</v>
      </c>
      <c r="M314" s="10" t="s">
        <v>1437</v>
      </c>
    </row>
    <row r="315" customFormat="false" ht="46.25" hidden="false" customHeight="false" outlineLevel="0" collapsed="false">
      <c r="A315" s="10" t="s">
        <v>95</v>
      </c>
      <c r="B315" s="10" t="s">
        <v>1431</v>
      </c>
      <c r="C315" s="10" t="s">
        <v>409</v>
      </c>
      <c r="D315" s="10" t="s">
        <v>410</v>
      </c>
      <c r="E315" s="10" t="s">
        <v>411</v>
      </c>
      <c r="F315" s="10" t="s">
        <v>356</v>
      </c>
      <c r="G315" s="10" t="s">
        <v>213</v>
      </c>
      <c r="H315" s="10" t="s">
        <v>378</v>
      </c>
      <c r="I315" s="10" t="s">
        <v>44</v>
      </c>
      <c r="J315" s="10" t="s">
        <v>1438</v>
      </c>
      <c r="K315" s="10" t="s">
        <v>296</v>
      </c>
      <c r="L315" s="10" t="s">
        <v>414</v>
      </c>
      <c r="M315" s="10" t="s">
        <v>415</v>
      </c>
    </row>
    <row r="316" customFormat="false" ht="35.05" hidden="false" customHeight="false" outlineLevel="0" collapsed="false">
      <c r="A316" s="10" t="s">
        <v>95</v>
      </c>
      <c r="B316" s="10" t="s">
        <v>1431</v>
      </c>
      <c r="C316" s="10" t="s">
        <v>416</v>
      </c>
      <c r="D316" s="10" t="s">
        <v>417</v>
      </c>
      <c r="E316" s="10" t="s">
        <v>418</v>
      </c>
      <c r="F316" s="10" t="s">
        <v>356</v>
      </c>
      <c r="G316" s="10" t="s">
        <v>213</v>
      </c>
      <c r="H316" s="11" t="s">
        <v>1439</v>
      </c>
      <c r="I316" s="10" t="s">
        <v>44</v>
      </c>
      <c r="J316" s="10" t="s">
        <v>1440</v>
      </c>
      <c r="K316" s="10" t="s">
        <v>296</v>
      </c>
      <c r="L316" s="10" t="s">
        <v>414</v>
      </c>
      <c r="M316" s="10" t="s">
        <v>420</v>
      </c>
    </row>
    <row r="317" customFormat="false" ht="35.05" hidden="false" customHeight="false" outlineLevel="0" collapsed="false">
      <c r="A317" s="10" t="s">
        <v>95</v>
      </c>
      <c r="B317" s="10" t="s">
        <v>1431</v>
      </c>
      <c r="C317" s="10" t="s">
        <v>340</v>
      </c>
      <c r="D317" s="10" t="s">
        <v>341</v>
      </c>
      <c r="E317" s="10" t="s">
        <v>342</v>
      </c>
      <c r="F317" s="10" t="s">
        <v>343</v>
      </c>
      <c r="G317" s="10" t="s">
        <v>344</v>
      </c>
      <c r="H317" s="10" t="s">
        <v>387</v>
      </c>
      <c r="I317" s="10" t="s">
        <v>44</v>
      </c>
      <c r="J317" s="10" t="s">
        <v>1441</v>
      </c>
      <c r="K317" s="10" t="s">
        <v>296</v>
      </c>
      <c r="L317" s="10" t="s">
        <v>347</v>
      </c>
      <c r="M317" s="10" t="s">
        <v>348</v>
      </c>
    </row>
    <row r="318" customFormat="false" ht="35.05" hidden="false" customHeight="false" outlineLevel="0" collapsed="false">
      <c r="A318" s="10" t="s">
        <v>95</v>
      </c>
      <c r="B318" s="10" t="s">
        <v>1431</v>
      </c>
      <c r="C318" s="10" t="s">
        <v>349</v>
      </c>
      <c r="D318" s="10" t="s">
        <v>350</v>
      </c>
      <c r="E318" s="10" t="s">
        <v>351</v>
      </c>
      <c r="F318" s="10" t="s">
        <v>343</v>
      </c>
      <c r="G318" s="10" t="s">
        <v>344</v>
      </c>
      <c r="H318" s="10" t="s">
        <v>389</v>
      </c>
      <c r="I318" s="10" t="s">
        <v>44</v>
      </c>
      <c r="J318" s="10" t="s">
        <v>353</v>
      </c>
      <c r="K318" s="10" t="s">
        <v>296</v>
      </c>
      <c r="L318" s="10" t="s">
        <v>347</v>
      </c>
      <c r="M318" s="10" t="s">
        <v>348</v>
      </c>
    </row>
    <row r="319" customFormat="false" ht="35.05" hidden="false" customHeight="false" outlineLevel="0" collapsed="false">
      <c r="A319" s="10" t="s">
        <v>95</v>
      </c>
      <c r="B319" s="10" t="s">
        <v>1431</v>
      </c>
      <c r="C319" s="10" t="s">
        <v>1442</v>
      </c>
      <c r="D319" s="10" t="s">
        <v>1443</v>
      </c>
      <c r="E319" s="10" t="s">
        <v>1444</v>
      </c>
      <c r="F319" s="10" t="s">
        <v>356</v>
      </c>
      <c r="G319" s="10" t="s">
        <v>213</v>
      </c>
      <c r="H319" s="10" t="s">
        <v>1445</v>
      </c>
      <c r="I319" s="10" t="s">
        <v>44</v>
      </c>
      <c r="J319" s="10" t="s">
        <v>1446</v>
      </c>
      <c r="K319" s="10" t="s">
        <v>296</v>
      </c>
      <c r="L319" s="10" t="s">
        <v>1447</v>
      </c>
      <c r="M319" s="10" t="s">
        <v>1448</v>
      </c>
    </row>
    <row r="320" customFormat="false" ht="46.25" hidden="false" customHeight="false" outlineLevel="0" collapsed="false">
      <c r="A320" s="10" t="s">
        <v>95</v>
      </c>
      <c r="B320" s="10" t="s">
        <v>1431</v>
      </c>
      <c r="C320" s="10" t="s">
        <v>1449</v>
      </c>
      <c r="D320" s="10" t="s">
        <v>1450</v>
      </c>
      <c r="E320" s="10" t="s">
        <v>1451</v>
      </c>
      <c r="F320" s="10" t="s">
        <v>356</v>
      </c>
      <c r="G320" s="10" t="s">
        <v>213</v>
      </c>
      <c r="H320" s="10" t="s">
        <v>384</v>
      </c>
      <c r="I320" s="10" t="s">
        <v>44</v>
      </c>
      <c r="J320" s="10" t="s">
        <v>1452</v>
      </c>
      <c r="K320" s="10" t="s">
        <v>296</v>
      </c>
      <c r="L320" s="10" t="s">
        <v>1453</v>
      </c>
      <c r="M320" s="10" t="s">
        <v>1454</v>
      </c>
    </row>
    <row r="321" customFormat="false" ht="35.05" hidden="false" customHeight="false" outlineLevel="0" collapsed="false">
      <c r="A321" s="10" t="s">
        <v>95</v>
      </c>
      <c r="B321" s="10" t="s">
        <v>1431</v>
      </c>
      <c r="C321" s="10" t="s">
        <v>1400</v>
      </c>
      <c r="D321" s="10" t="s">
        <v>302</v>
      </c>
      <c r="E321" s="10" t="s">
        <v>1401</v>
      </c>
      <c r="F321" s="10" t="s">
        <v>292</v>
      </c>
      <c r="G321" s="10" t="s">
        <v>791</v>
      </c>
      <c r="H321" s="10" t="s">
        <v>401</v>
      </c>
      <c r="I321" s="10" t="s">
        <v>44</v>
      </c>
      <c r="J321" s="10" t="s">
        <v>402</v>
      </c>
      <c r="K321" s="10" t="s">
        <v>296</v>
      </c>
      <c r="L321" s="10" t="s">
        <v>1403</v>
      </c>
      <c r="M321" s="10" t="s">
        <v>1404</v>
      </c>
    </row>
    <row r="322" customFormat="false" ht="35.05" hidden="false" customHeight="false" outlineLevel="0" collapsed="false">
      <c r="A322" s="10" t="s">
        <v>36</v>
      </c>
      <c r="B322" s="10" t="s">
        <v>1431</v>
      </c>
      <c r="C322" s="10" t="s">
        <v>332</v>
      </c>
      <c r="D322" s="10" t="s">
        <v>333</v>
      </c>
      <c r="E322" s="10" t="s">
        <v>334</v>
      </c>
      <c r="F322" s="10" t="s">
        <v>304</v>
      </c>
      <c r="G322" s="10" t="s">
        <v>213</v>
      </c>
      <c r="H322" s="10" t="s">
        <v>390</v>
      </c>
      <c r="I322" s="10" t="s">
        <v>336</v>
      </c>
      <c r="J322" s="10" t="s">
        <v>337</v>
      </c>
      <c r="K322" s="10" t="s">
        <v>296</v>
      </c>
      <c r="L322" s="10" t="s">
        <v>338</v>
      </c>
      <c r="M322" s="10" t="s">
        <v>339</v>
      </c>
    </row>
    <row r="323" customFormat="false" ht="46.25" hidden="false" customHeight="false" outlineLevel="0" collapsed="false">
      <c r="A323" s="10" t="s">
        <v>36</v>
      </c>
      <c r="B323" s="10" t="s">
        <v>1431</v>
      </c>
      <c r="C323" s="10" t="s">
        <v>391</v>
      </c>
      <c r="D323" s="10" t="s">
        <v>392</v>
      </c>
      <c r="E323" s="10" t="s">
        <v>393</v>
      </c>
      <c r="F323" s="10" t="s">
        <v>304</v>
      </c>
      <c r="G323" s="10" t="s">
        <v>213</v>
      </c>
      <c r="H323" s="10" t="s">
        <v>394</v>
      </c>
      <c r="I323" s="10" t="s">
        <v>336</v>
      </c>
      <c r="J323" s="10" t="s">
        <v>395</v>
      </c>
      <c r="K323" s="10" t="s">
        <v>296</v>
      </c>
      <c r="L323" s="10" t="s">
        <v>396</v>
      </c>
      <c r="M323" s="10" t="s">
        <v>397</v>
      </c>
    </row>
    <row r="324" customFormat="false" ht="35.05" hidden="false" customHeight="false" outlineLevel="0" collapsed="false">
      <c r="A324" s="10" t="s">
        <v>95</v>
      </c>
      <c r="B324" s="10" t="s">
        <v>1431</v>
      </c>
      <c r="C324" s="10" t="s">
        <v>1427</v>
      </c>
      <c r="D324" s="10" t="s">
        <v>302</v>
      </c>
      <c r="E324" s="10" t="s">
        <v>1428</v>
      </c>
      <c r="F324" s="10" t="s">
        <v>1115</v>
      </c>
      <c r="G324" s="10" t="s">
        <v>1116</v>
      </c>
      <c r="H324" s="10" t="s">
        <v>1117</v>
      </c>
      <c r="I324" s="10" t="s">
        <v>44</v>
      </c>
      <c r="J324" s="10" t="s">
        <v>1118</v>
      </c>
      <c r="K324" s="10" t="s">
        <v>296</v>
      </c>
      <c r="L324" s="10" t="s">
        <v>1429</v>
      </c>
      <c r="M324" s="10" t="s">
        <v>1430</v>
      </c>
    </row>
    <row r="325" customFormat="false" ht="35.05" hidden="false" customHeight="false" outlineLevel="0" collapsed="false">
      <c r="A325" s="10" t="s">
        <v>129</v>
      </c>
      <c r="B325" s="10" t="s">
        <v>1455</v>
      </c>
      <c r="C325" s="10" t="s">
        <v>1456</v>
      </c>
      <c r="D325" s="10" t="s">
        <v>1457</v>
      </c>
      <c r="E325" s="10" t="s">
        <v>1458</v>
      </c>
      <c r="F325" s="10" t="s">
        <v>304</v>
      </c>
      <c r="G325" s="10" t="s">
        <v>213</v>
      </c>
      <c r="H325" s="10" t="s">
        <v>1459</v>
      </c>
      <c r="I325" s="10" t="s">
        <v>44</v>
      </c>
      <c r="J325" s="10" t="s">
        <v>337</v>
      </c>
      <c r="K325" s="10" t="s">
        <v>296</v>
      </c>
      <c r="L325" s="10" t="s">
        <v>414</v>
      </c>
      <c r="M325" s="10" t="s">
        <v>1393</v>
      </c>
    </row>
    <row r="326" customFormat="false" ht="46.25" hidden="false" customHeight="false" outlineLevel="0" collapsed="false">
      <c r="A326" s="10" t="s">
        <v>129</v>
      </c>
      <c r="B326" s="10" t="s">
        <v>1455</v>
      </c>
      <c r="C326" s="10" t="s">
        <v>1460</v>
      </c>
      <c r="D326" s="10" t="s">
        <v>1461</v>
      </c>
      <c r="E326" s="10" t="s">
        <v>1462</v>
      </c>
      <c r="F326" s="10" t="s">
        <v>356</v>
      </c>
      <c r="G326" s="10" t="s">
        <v>213</v>
      </c>
      <c r="H326" s="10" t="s">
        <v>1463</v>
      </c>
      <c r="I326" s="10" t="s">
        <v>44</v>
      </c>
      <c r="J326" s="10" t="s">
        <v>1464</v>
      </c>
      <c r="K326" s="10" t="s">
        <v>296</v>
      </c>
      <c r="L326" s="10" t="s">
        <v>1465</v>
      </c>
      <c r="M326" s="10" t="s">
        <v>1466</v>
      </c>
    </row>
    <row r="327" customFormat="false" ht="35.05" hidden="false" customHeight="false" outlineLevel="0" collapsed="false">
      <c r="A327" s="10" t="s">
        <v>129</v>
      </c>
      <c r="B327" s="10" t="s">
        <v>1455</v>
      </c>
      <c r="C327" s="10" t="s">
        <v>1467</v>
      </c>
      <c r="D327" s="10" t="s">
        <v>1468</v>
      </c>
      <c r="E327" s="10" t="s">
        <v>1469</v>
      </c>
      <c r="F327" s="10" t="s">
        <v>292</v>
      </c>
      <c r="G327" s="10" t="s">
        <v>842</v>
      </c>
      <c r="H327" s="10" t="s">
        <v>836</v>
      </c>
      <c r="I327" s="10" t="s">
        <v>44</v>
      </c>
      <c r="J327" s="10" t="s">
        <v>843</v>
      </c>
      <c r="K327" s="10" t="s">
        <v>296</v>
      </c>
      <c r="L327" s="10" t="s">
        <v>1150</v>
      </c>
      <c r="M327" s="10" t="s">
        <v>1470</v>
      </c>
    </row>
    <row r="328" customFormat="false" ht="35.05" hidden="false" customHeight="false" outlineLevel="0" collapsed="false">
      <c r="A328" s="10" t="s">
        <v>129</v>
      </c>
      <c r="B328" s="10" t="s">
        <v>1455</v>
      </c>
      <c r="C328" s="10" t="s">
        <v>1471</v>
      </c>
      <c r="D328" s="10" t="s">
        <v>1472</v>
      </c>
      <c r="E328" s="10" t="s">
        <v>1473</v>
      </c>
      <c r="F328" s="10" t="s">
        <v>356</v>
      </c>
      <c r="G328" s="10" t="s">
        <v>213</v>
      </c>
      <c r="H328" s="10" t="s">
        <v>1474</v>
      </c>
      <c r="I328" s="10" t="s">
        <v>44</v>
      </c>
      <c r="J328" s="10" t="s">
        <v>1474</v>
      </c>
      <c r="K328" s="10" t="s">
        <v>296</v>
      </c>
      <c r="L328" s="10" t="s">
        <v>1475</v>
      </c>
      <c r="M328" s="10" t="s">
        <v>1476</v>
      </c>
    </row>
    <row r="329" customFormat="false" ht="35.05" hidden="false" customHeight="false" outlineLevel="0" collapsed="false">
      <c r="A329" s="10" t="s">
        <v>129</v>
      </c>
      <c r="B329" s="10" t="s">
        <v>1455</v>
      </c>
      <c r="C329" s="10" t="s">
        <v>1477</v>
      </c>
      <c r="D329" s="10" t="s">
        <v>1478</v>
      </c>
      <c r="E329" s="10" t="s">
        <v>1479</v>
      </c>
      <c r="F329" s="10" t="s">
        <v>1178</v>
      </c>
      <c r="G329" s="10" t="s">
        <v>1480</v>
      </c>
      <c r="H329" s="10" t="s">
        <v>1481</v>
      </c>
      <c r="I329" s="10" t="s">
        <v>44</v>
      </c>
      <c r="J329" s="10" t="s">
        <v>1481</v>
      </c>
      <c r="K329" s="10" t="s">
        <v>296</v>
      </c>
      <c r="L329" s="10" t="s">
        <v>1482</v>
      </c>
      <c r="M329" s="10" t="s">
        <v>1483</v>
      </c>
    </row>
    <row r="330" customFormat="false" ht="35.05" hidden="false" customHeight="false" outlineLevel="0" collapsed="false">
      <c r="A330" s="10" t="s">
        <v>36</v>
      </c>
      <c r="B330" s="10" t="s">
        <v>1455</v>
      </c>
      <c r="C330" s="10" t="s">
        <v>332</v>
      </c>
      <c r="D330" s="10" t="s">
        <v>333</v>
      </c>
      <c r="E330" s="10" t="s">
        <v>334</v>
      </c>
      <c r="F330" s="10" t="s">
        <v>304</v>
      </c>
      <c r="G330" s="10" t="s">
        <v>213</v>
      </c>
      <c r="H330" s="10" t="s">
        <v>467</v>
      </c>
      <c r="I330" s="10" t="s">
        <v>44</v>
      </c>
      <c r="J330" s="10" t="s">
        <v>1074</v>
      </c>
      <c r="K330" s="10" t="s">
        <v>296</v>
      </c>
      <c r="L330" s="10" t="s">
        <v>338</v>
      </c>
      <c r="M330" s="10" t="s">
        <v>339</v>
      </c>
    </row>
    <row r="331" customFormat="false" ht="46.25" hidden="false" customHeight="false" outlineLevel="0" collapsed="false">
      <c r="A331" s="10" t="s">
        <v>129</v>
      </c>
      <c r="B331" s="10" t="s">
        <v>1455</v>
      </c>
      <c r="C331" s="10" t="s">
        <v>1484</v>
      </c>
      <c r="D331" s="10" t="s">
        <v>363</v>
      </c>
      <c r="E331" s="10" t="s">
        <v>1485</v>
      </c>
      <c r="F331" s="10" t="s">
        <v>356</v>
      </c>
      <c r="G331" s="10" t="s">
        <v>213</v>
      </c>
      <c r="H331" s="10" t="s">
        <v>1486</v>
      </c>
      <c r="I331" s="10" t="s">
        <v>44</v>
      </c>
      <c r="J331" s="10" t="s">
        <v>1486</v>
      </c>
      <c r="K331" s="10" t="s">
        <v>296</v>
      </c>
      <c r="L331" s="10" t="s">
        <v>1487</v>
      </c>
      <c r="M331" s="10" t="s">
        <v>1488</v>
      </c>
    </row>
    <row r="332" customFormat="false" ht="35.05" hidden="false" customHeight="false" outlineLevel="0" collapsed="false">
      <c r="A332" s="10" t="s">
        <v>36</v>
      </c>
      <c r="B332" s="10" t="s">
        <v>1489</v>
      </c>
      <c r="C332" s="10" t="s">
        <v>332</v>
      </c>
      <c r="D332" s="10" t="s">
        <v>333</v>
      </c>
      <c r="E332" s="10" t="s">
        <v>334</v>
      </c>
      <c r="F332" s="10" t="s">
        <v>304</v>
      </c>
      <c r="G332" s="10" t="s">
        <v>213</v>
      </c>
      <c r="H332" s="10" t="s">
        <v>467</v>
      </c>
      <c r="I332" s="10" t="s">
        <v>44</v>
      </c>
      <c r="J332" s="10" t="s">
        <v>337</v>
      </c>
      <c r="K332" s="10" t="s">
        <v>296</v>
      </c>
      <c r="L332" s="10" t="s">
        <v>338</v>
      </c>
      <c r="M332" s="10" t="s">
        <v>339</v>
      </c>
    </row>
    <row r="333" customFormat="false" ht="23.85" hidden="false" customHeight="false" outlineLevel="0" collapsed="false">
      <c r="A333" s="10" t="s">
        <v>36</v>
      </c>
      <c r="B333" s="10" t="s">
        <v>1489</v>
      </c>
      <c r="C333" s="10" t="s">
        <v>422</v>
      </c>
      <c r="D333" s="10" t="s">
        <v>423</v>
      </c>
      <c r="E333" s="10" t="s">
        <v>424</v>
      </c>
      <c r="F333" s="10" t="s">
        <v>356</v>
      </c>
      <c r="G333" s="10" t="s">
        <v>213</v>
      </c>
      <c r="H333" s="10" t="s">
        <v>469</v>
      </c>
      <c r="I333" s="10" t="s">
        <v>44</v>
      </c>
      <c r="J333" s="10" t="s">
        <v>337</v>
      </c>
      <c r="K333" s="10" t="s">
        <v>296</v>
      </c>
      <c r="L333" s="10" t="s">
        <v>426</v>
      </c>
      <c r="M333" s="10" t="s">
        <v>427</v>
      </c>
    </row>
    <row r="334" customFormat="false" ht="23.85" hidden="false" customHeight="false" outlineLevel="0" collapsed="false">
      <c r="A334" s="10" t="s">
        <v>84</v>
      </c>
      <c r="B334" s="10" t="s">
        <v>1489</v>
      </c>
      <c r="C334" s="10" t="s">
        <v>471</v>
      </c>
      <c r="D334" s="10" t="s">
        <v>472</v>
      </c>
      <c r="E334" s="10" t="s">
        <v>473</v>
      </c>
      <c r="F334" s="10" t="s">
        <v>356</v>
      </c>
      <c r="G334" s="10" t="s">
        <v>213</v>
      </c>
      <c r="H334" s="11" t="s">
        <v>474</v>
      </c>
      <c r="I334" s="10" t="s">
        <v>44</v>
      </c>
      <c r="J334" s="10" t="s">
        <v>337</v>
      </c>
      <c r="K334" s="10" t="s">
        <v>296</v>
      </c>
      <c r="L334" s="10" t="s">
        <v>1122</v>
      </c>
      <c r="M334" s="10" t="s">
        <v>476</v>
      </c>
    </row>
    <row r="335" customFormat="false" ht="23.85" hidden="false" customHeight="false" outlineLevel="0" collapsed="false">
      <c r="A335" s="10" t="s">
        <v>36</v>
      </c>
      <c r="B335" s="10" t="s">
        <v>1489</v>
      </c>
      <c r="C335" s="10" t="s">
        <v>428</v>
      </c>
      <c r="D335" s="10" t="s">
        <v>363</v>
      </c>
      <c r="E335" s="10" t="s">
        <v>429</v>
      </c>
      <c r="F335" s="10" t="s">
        <v>356</v>
      </c>
      <c r="G335" s="10" t="s">
        <v>213</v>
      </c>
      <c r="H335" s="10" t="s">
        <v>477</v>
      </c>
      <c r="I335" s="10" t="s">
        <v>44</v>
      </c>
      <c r="J335" s="10" t="s">
        <v>337</v>
      </c>
      <c r="K335" s="10" t="s">
        <v>296</v>
      </c>
      <c r="L335" s="10" t="s">
        <v>430</v>
      </c>
      <c r="M335" s="10" t="s">
        <v>431</v>
      </c>
    </row>
    <row r="336" customFormat="false" ht="35.05" hidden="false" customHeight="false" outlineLevel="0" collapsed="false">
      <c r="A336" s="10" t="s">
        <v>36</v>
      </c>
      <c r="B336" s="10" t="s">
        <v>1489</v>
      </c>
      <c r="C336" s="10" t="s">
        <v>432</v>
      </c>
      <c r="D336" s="10" t="s">
        <v>363</v>
      </c>
      <c r="E336" s="10" t="s">
        <v>433</v>
      </c>
      <c r="F336" s="10" t="s">
        <v>356</v>
      </c>
      <c r="G336" s="10" t="s">
        <v>213</v>
      </c>
      <c r="H336" s="10" t="s">
        <v>434</v>
      </c>
      <c r="I336" s="10" t="s">
        <v>44</v>
      </c>
      <c r="J336" s="10" t="s">
        <v>435</v>
      </c>
      <c r="K336" s="10" t="s">
        <v>296</v>
      </c>
      <c r="L336" s="10" t="s">
        <v>436</v>
      </c>
      <c r="M336" s="10" t="s">
        <v>437</v>
      </c>
    </row>
    <row r="337" customFormat="false" ht="23.85" hidden="false" customHeight="false" outlineLevel="0" collapsed="false">
      <c r="A337" s="10" t="s">
        <v>827</v>
      </c>
      <c r="B337" s="10" t="s">
        <v>1489</v>
      </c>
      <c r="C337" s="10" t="s">
        <v>828</v>
      </c>
      <c r="D337" s="10" t="s">
        <v>302</v>
      </c>
      <c r="E337" s="10" t="s">
        <v>829</v>
      </c>
      <c r="F337" s="10" t="s">
        <v>292</v>
      </c>
      <c r="G337" s="10" t="s">
        <v>311</v>
      </c>
      <c r="H337" s="10" t="s">
        <v>830</v>
      </c>
      <c r="I337" s="10" t="s">
        <v>44</v>
      </c>
      <c r="J337" s="10" t="s">
        <v>831</v>
      </c>
      <c r="K337" s="10" t="s">
        <v>296</v>
      </c>
      <c r="L337" s="10" t="s">
        <v>1490</v>
      </c>
      <c r="M337" s="10" t="s">
        <v>833</v>
      </c>
    </row>
    <row r="338" customFormat="false" ht="23.85" hidden="false" customHeight="false" outlineLevel="0" collapsed="false">
      <c r="A338" s="10" t="s">
        <v>827</v>
      </c>
      <c r="B338" s="10" t="s">
        <v>1489</v>
      </c>
      <c r="C338" s="10" t="s">
        <v>834</v>
      </c>
      <c r="D338" s="10" t="s">
        <v>302</v>
      </c>
      <c r="E338" s="10" t="s">
        <v>835</v>
      </c>
      <c r="F338" s="10" t="s">
        <v>292</v>
      </c>
      <c r="G338" s="10" t="s">
        <v>311</v>
      </c>
      <c r="H338" s="10" t="s">
        <v>836</v>
      </c>
      <c r="I338" s="10" t="s">
        <v>44</v>
      </c>
      <c r="J338" s="10" t="s">
        <v>313</v>
      </c>
      <c r="K338" s="10" t="s">
        <v>296</v>
      </c>
      <c r="L338" s="10" t="s">
        <v>1491</v>
      </c>
      <c r="M338" s="10" t="s">
        <v>838</v>
      </c>
    </row>
    <row r="339" customFormat="false" ht="35.05" hidden="false" customHeight="false" outlineLevel="0" collapsed="false">
      <c r="A339" s="10" t="s">
        <v>827</v>
      </c>
      <c r="B339" s="10" t="s">
        <v>1489</v>
      </c>
      <c r="C339" s="10" t="s">
        <v>839</v>
      </c>
      <c r="D339" s="10" t="s">
        <v>840</v>
      </c>
      <c r="E339" s="10" t="s">
        <v>841</v>
      </c>
      <c r="F339" s="10" t="s">
        <v>292</v>
      </c>
      <c r="G339" s="10" t="s">
        <v>842</v>
      </c>
      <c r="H339" s="10" t="s">
        <v>836</v>
      </c>
      <c r="I339" s="10" t="s">
        <v>336</v>
      </c>
      <c r="J339" s="10" t="s">
        <v>843</v>
      </c>
      <c r="K339" s="10" t="s">
        <v>296</v>
      </c>
      <c r="L339" s="10" t="s">
        <v>1492</v>
      </c>
      <c r="M339" s="10" t="s">
        <v>845</v>
      </c>
    </row>
    <row r="340" customFormat="false" ht="23.85" hidden="false" customHeight="false" outlineLevel="0" collapsed="false">
      <c r="A340" s="10" t="s">
        <v>113</v>
      </c>
      <c r="B340" s="10" t="s">
        <v>1493</v>
      </c>
      <c r="C340" s="10" t="s">
        <v>1456</v>
      </c>
      <c r="D340" s="10" t="s">
        <v>1457</v>
      </c>
      <c r="E340" s="10" t="s">
        <v>1458</v>
      </c>
      <c r="F340" s="10" t="s">
        <v>304</v>
      </c>
      <c r="G340" s="10" t="s">
        <v>213</v>
      </c>
      <c r="H340" s="10" t="s">
        <v>1494</v>
      </c>
      <c r="I340" s="10" t="s">
        <v>44</v>
      </c>
      <c r="J340" s="10" t="s">
        <v>1495</v>
      </c>
      <c r="K340" s="10" t="s">
        <v>296</v>
      </c>
      <c r="L340" s="10" t="s">
        <v>414</v>
      </c>
      <c r="M340" s="10" t="s">
        <v>1393</v>
      </c>
    </row>
    <row r="341" customFormat="false" ht="23.85" hidden="false" customHeight="false" outlineLevel="0" collapsed="false">
      <c r="A341" s="10" t="s">
        <v>113</v>
      </c>
      <c r="B341" s="10" t="s">
        <v>1493</v>
      </c>
      <c r="C341" s="10" t="s">
        <v>1388</v>
      </c>
      <c r="D341" s="10" t="s">
        <v>1389</v>
      </c>
      <c r="E341" s="10" t="s">
        <v>1390</v>
      </c>
      <c r="F341" s="10" t="s">
        <v>304</v>
      </c>
      <c r="G341" s="10" t="s">
        <v>213</v>
      </c>
      <c r="H341" s="10" t="s">
        <v>1496</v>
      </c>
      <c r="I341" s="10" t="s">
        <v>44</v>
      </c>
      <c r="J341" s="10" t="s">
        <v>1497</v>
      </c>
      <c r="K341" s="10" t="s">
        <v>296</v>
      </c>
      <c r="L341" s="10" t="s">
        <v>414</v>
      </c>
      <c r="M341" s="10" t="s">
        <v>1393</v>
      </c>
    </row>
    <row r="342" customFormat="false" ht="46.25" hidden="false" customHeight="false" outlineLevel="0" collapsed="false">
      <c r="A342" s="10" t="s">
        <v>113</v>
      </c>
      <c r="B342" s="10" t="s">
        <v>1493</v>
      </c>
      <c r="C342" s="10" t="s">
        <v>1460</v>
      </c>
      <c r="D342" s="10" t="s">
        <v>1461</v>
      </c>
      <c r="E342" s="10" t="s">
        <v>1462</v>
      </c>
      <c r="F342" s="10" t="s">
        <v>356</v>
      </c>
      <c r="G342" s="10" t="s">
        <v>213</v>
      </c>
      <c r="H342" s="10" t="s">
        <v>1498</v>
      </c>
      <c r="I342" s="10" t="s">
        <v>44</v>
      </c>
      <c r="J342" s="10" t="s">
        <v>1499</v>
      </c>
      <c r="K342" s="10" t="s">
        <v>296</v>
      </c>
      <c r="L342" s="10" t="s">
        <v>1465</v>
      </c>
      <c r="M342" s="10" t="s">
        <v>1466</v>
      </c>
    </row>
    <row r="343" customFormat="false" ht="35.05" hidden="false" customHeight="false" outlineLevel="0" collapsed="false">
      <c r="A343" s="10" t="s">
        <v>113</v>
      </c>
      <c r="B343" s="10" t="s">
        <v>1493</v>
      </c>
      <c r="C343" s="10" t="s">
        <v>340</v>
      </c>
      <c r="D343" s="10" t="s">
        <v>341</v>
      </c>
      <c r="E343" s="10" t="s">
        <v>342</v>
      </c>
      <c r="F343" s="10" t="s">
        <v>343</v>
      </c>
      <c r="G343" s="10" t="s">
        <v>344</v>
      </c>
      <c r="H343" s="10" t="s">
        <v>1500</v>
      </c>
      <c r="I343" s="10" t="s">
        <v>44</v>
      </c>
      <c r="J343" s="10" t="s">
        <v>388</v>
      </c>
      <c r="K343" s="10" t="s">
        <v>296</v>
      </c>
      <c r="L343" s="10" t="s">
        <v>347</v>
      </c>
      <c r="M343" s="10" t="s">
        <v>348</v>
      </c>
    </row>
    <row r="344" customFormat="false" ht="35.05" hidden="false" customHeight="false" outlineLevel="0" collapsed="false">
      <c r="A344" s="10" t="s">
        <v>113</v>
      </c>
      <c r="B344" s="10" t="s">
        <v>1493</v>
      </c>
      <c r="C344" s="10" t="s">
        <v>349</v>
      </c>
      <c r="D344" s="10" t="s">
        <v>350</v>
      </c>
      <c r="E344" s="10" t="s">
        <v>351</v>
      </c>
      <c r="F344" s="10" t="s">
        <v>343</v>
      </c>
      <c r="G344" s="10" t="s">
        <v>344</v>
      </c>
      <c r="H344" s="10" t="s">
        <v>1501</v>
      </c>
      <c r="I344" s="10" t="s">
        <v>44</v>
      </c>
      <c r="J344" s="10" t="s">
        <v>353</v>
      </c>
      <c r="K344" s="10" t="s">
        <v>296</v>
      </c>
      <c r="L344" s="10" t="s">
        <v>347</v>
      </c>
      <c r="M344" s="10" t="s">
        <v>348</v>
      </c>
    </row>
    <row r="345" customFormat="false" ht="23.85" hidden="false" customHeight="false" outlineLevel="0" collapsed="false">
      <c r="A345" s="10" t="s">
        <v>113</v>
      </c>
      <c r="B345" s="10" t="s">
        <v>1493</v>
      </c>
      <c r="C345" s="10" t="s">
        <v>1502</v>
      </c>
      <c r="D345" s="10" t="s">
        <v>1503</v>
      </c>
      <c r="E345" s="10" t="s">
        <v>1504</v>
      </c>
      <c r="F345" s="10" t="s">
        <v>292</v>
      </c>
      <c r="G345" s="10" t="s">
        <v>1370</v>
      </c>
      <c r="H345" s="10" t="s">
        <v>1505</v>
      </c>
      <c r="I345" s="10" t="s">
        <v>336</v>
      </c>
      <c r="J345" s="10" t="s">
        <v>1506</v>
      </c>
      <c r="K345" s="10" t="s">
        <v>296</v>
      </c>
      <c r="L345" s="10" t="s">
        <v>1507</v>
      </c>
      <c r="M345" s="10" t="s">
        <v>1508</v>
      </c>
    </row>
    <row r="346" customFormat="false" ht="23.85" hidden="false" customHeight="false" outlineLevel="0" collapsed="false">
      <c r="A346" s="10" t="s">
        <v>113</v>
      </c>
      <c r="B346" s="10" t="s">
        <v>1493</v>
      </c>
      <c r="C346" s="10" t="s">
        <v>1509</v>
      </c>
      <c r="D346" s="10" t="s">
        <v>1510</v>
      </c>
      <c r="E346" s="10" t="s">
        <v>1511</v>
      </c>
      <c r="F346" s="10" t="s">
        <v>1178</v>
      </c>
      <c r="G346" s="10" t="s">
        <v>1512</v>
      </c>
      <c r="H346" s="10" t="s">
        <v>1513</v>
      </c>
      <c r="I346" s="10" t="s">
        <v>44</v>
      </c>
      <c r="J346" s="10" t="s">
        <v>1514</v>
      </c>
      <c r="K346" s="10" t="s">
        <v>296</v>
      </c>
      <c r="L346" s="10" t="s">
        <v>1515</v>
      </c>
      <c r="M346" s="10" t="s">
        <v>1516</v>
      </c>
    </row>
    <row r="347" customFormat="false" ht="46.25" hidden="false" customHeight="false" outlineLevel="0" collapsed="false">
      <c r="A347" s="10" t="s">
        <v>36</v>
      </c>
      <c r="B347" s="10" t="s">
        <v>1493</v>
      </c>
      <c r="C347" s="10" t="s">
        <v>391</v>
      </c>
      <c r="D347" s="10" t="s">
        <v>392</v>
      </c>
      <c r="E347" s="10" t="s">
        <v>393</v>
      </c>
      <c r="F347" s="10" t="s">
        <v>304</v>
      </c>
      <c r="G347" s="10" t="s">
        <v>213</v>
      </c>
      <c r="H347" s="10" t="s">
        <v>1517</v>
      </c>
      <c r="I347" s="10" t="s">
        <v>44</v>
      </c>
      <c r="J347" s="10" t="s">
        <v>395</v>
      </c>
      <c r="K347" s="10" t="s">
        <v>296</v>
      </c>
      <c r="L347" s="10" t="s">
        <v>396</v>
      </c>
      <c r="M347" s="10" t="s">
        <v>397</v>
      </c>
    </row>
    <row r="348" customFormat="false" ht="35.05" hidden="false" customHeight="false" outlineLevel="0" collapsed="false">
      <c r="A348" s="10" t="s">
        <v>36</v>
      </c>
      <c r="B348" s="10" t="s">
        <v>1493</v>
      </c>
      <c r="C348" s="10" t="s">
        <v>332</v>
      </c>
      <c r="D348" s="10" t="s">
        <v>333</v>
      </c>
      <c r="E348" s="10" t="s">
        <v>334</v>
      </c>
      <c r="F348" s="10" t="s">
        <v>304</v>
      </c>
      <c r="G348" s="10" t="s">
        <v>213</v>
      </c>
      <c r="H348" s="10" t="s">
        <v>390</v>
      </c>
      <c r="I348" s="10" t="s">
        <v>44</v>
      </c>
      <c r="J348" s="10" t="s">
        <v>337</v>
      </c>
      <c r="K348" s="10" t="s">
        <v>296</v>
      </c>
      <c r="L348" s="10" t="s">
        <v>338</v>
      </c>
      <c r="M348" s="10" t="s">
        <v>339</v>
      </c>
    </row>
    <row r="349" customFormat="false" ht="35.05" hidden="false" customHeight="false" outlineLevel="0" collapsed="false">
      <c r="A349" s="10" t="s">
        <v>113</v>
      </c>
      <c r="B349" s="10" t="s">
        <v>1493</v>
      </c>
      <c r="C349" s="10" t="s">
        <v>1427</v>
      </c>
      <c r="D349" s="10" t="s">
        <v>302</v>
      </c>
      <c r="E349" s="10" t="s">
        <v>1428</v>
      </c>
      <c r="F349" s="10" t="s">
        <v>1115</v>
      </c>
      <c r="G349" s="10" t="s">
        <v>1116</v>
      </c>
      <c r="H349" s="10" t="s">
        <v>1117</v>
      </c>
      <c r="I349" s="10" t="s">
        <v>44</v>
      </c>
      <c r="J349" s="10" t="s">
        <v>1118</v>
      </c>
      <c r="K349" s="10" t="s">
        <v>296</v>
      </c>
      <c r="L349" s="10" t="s">
        <v>1429</v>
      </c>
      <c r="M349" s="10" t="s">
        <v>1430</v>
      </c>
    </row>
    <row r="350" customFormat="false" ht="35.05" hidden="false" customHeight="false" outlineLevel="0" collapsed="false">
      <c r="A350" s="10" t="s">
        <v>1518</v>
      </c>
      <c r="B350" s="10" t="s">
        <v>1519</v>
      </c>
      <c r="C350" s="10" t="s">
        <v>1520</v>
      </c>
      <c r="D350" s="10" t="s">
        <v>1521</v>
      </c>
      <c r="E350" s="10" t="s">
        <v>1522</v>
      </c>
      <c r="F350" s="10" t="s">
        <v>304</v>
      </c>
      <c r="G350" s="10" t="s">
        <v>213</v>
      </c>
      <c r="H350" s="10" t="s">
        <v>1523</v>
      </c>
      <c r="I350" s="10" t="s">
        <v>44</v>
      </c>
      <c r="J350" s="10" t="s">
        <v>1524</v>
      </c>
      <c r="K350" s="10" t="s">
        <v>296</v>
      </c>
      <c r="L350" s="10" t="s">
        <v>1290</v>
      </c>
      <c r="M350" s="10" t="s">
        <v>1525</v>
      </c>
    </row>
    <row r="351" customFormat="false" ht="35.05" hidden="false" customHeight="false" outlineLevel="0" collapsed="false">
      <c r="A351" s="10" t="s">
        <v>1518</v>
      </c>
      <c r="B351" s="10" t="s">
        <v>1519</v>
      </c>
      <c r="C351" s="10" t="s">
        <v>1456</v>
      </c>
      <c r="D351" s="10" t="s">
        <v>1457</v>
      </c>
      <c r="E351" s="10" t="s">
        <v>1458</v>
      </c>
      <c r="F351" s="10" t="s">
        <v>304</v>
      </c>
      <c r="G351" s="10" t="s">
        <v>213</v>
      </c>
      <c r="H351" s="10" t="s">
        <v>1526</v>
      </c>
      <c r="I351" s="10" t="s">
        <v>44</v>
      </c>
      <c r="J351" s="10" t="s">
        <v>1524</v>
      </c>
      <c r="K351" s="10" t="s">
        <v>296</v>
      </c>
      <c r="L351" s="10" t="s">
        <v>414</v>
      </c>
      <c r="M351" s="10" t="s">
        <v>1393</v>
      </c>
    </row>
    <row r="352" customFormat="false" ht="35.05" hidden="false" customHeight="false" outlineLevel="0" collapsed="false">
      <c r="A352" s="10" t="s">
        <v>1518</v>
      </c>
      <c r="B352" s="10" t="s">
        <v>1519</v>
      </c>
      <c r="C352" s="10" t="s">
        <v>1527</v>
      </c>
      <c r="D352" s="10" t="s">
        <v>302</v>
      </c>
      <c r="E352" s="10" t="s">
        <v>1528</v>
      </c>
      <c r="F352" s="10" t="s">
        <v>441</v>
      </c>
      <c r="G352" s="10" t="s">
        <v>1370</v>
      </c>
      <c r="H352" s="10" t="s">
        <v>1529</v>
      </c>
      <c r="I352" s="10" t="s">
        <v>44</v>
      </c>
      <c r="J352" s="10" t="s">
        <v>1530</v>
      </c>
      <c r="K352" s="10" t="s">
        <v>296</v>
      </c>
      <c r="L352" s="10" t="s">
        <v>1531</v>
      </c>
      <c r="M352" s="10" t="s">
        <v>1532</v>
      </c>
    </row>
    <row r="353" customFormat="false" ht="23.85" hidden="false" customHeight="false" outlineLevel="0" collapsed="false">
      <c r="A353" s="10" t="s">
        <v>65</v>
      </c>
      <c r="B353" s="10" t="s">
        <v>1533</v>
      </c>
      <c r="C353" s="10" t="s">
        <v>1534</v>
      </c>
      <c r="D353" s="10" t="s">
        <v>1535</v>
      </c>
      <c r="E353" s="10" t="s">
        <v>1536</v>
      </c>
      <c r="F353" s="10" t="s">
        <v>292</v>
      </c>
      <c r="G353" s="10" t="s">
        <v>483</v>
      </c>
      <c r="H353" s="10" t="s">
        <v>1537</v>
      </c>
      <c r="I353" s="10" t="s">
        <v>44</v>
      </c>
      <c r="J353" s="10" t="s">
        <v>295</v>
      </c>
      <c r="K353" s="10" t="s">
        <v>296</v>
      </c>
      <c r="L353" s="10" t="s">
        <v>1538</v>
      </c>
      <c r="M353" s="10" t="s">
        <v>1539</v>
      </c>
    </row>
    <row r="354" customFormat="false" ht="23.85" hidden="false" customHeight="false" outlineLevel="0" collapsed="false">
      <c r="A354" s="10" t="s">
        <v>76</v>
      </c>
      <c r="B354" s="10" t="s">
        <v>1533</v>
      </c>
      <c r="C354" s="10" t="s">
        <v>1540</v>
      </c>
      <c r="D354" s="10" t="s">
        <v>1541</v>
      </c>
      <c r="E354" s="10" t="s">
        <v>1542</v>
      </c>
      <c r="F354" s="10" t="s">
        <v>292</v>
      </c>
      <c r="G354" s="10" t="s">
        <v>483</v>
      </c>
      <c r="H354" s="10" t="s">
        <v>1543</v>
      </c>
      <c r="I354" s="10" t="s">
        <v>44</v>
      </c>
      <c r="J354" s="10" t="s">
        <v>295</v>
      </c>
      <c r="K354" s="10" t="s">
        <v>296</v>
      </c>
      <c r="L354" s="10" t="s">
        <v>1544</v>
      </c>
      <c r="M354" s="10" t="s">
        <v>1545</v>
      </c>
    </row>
    <row r="355" customFormat="false" ht="23.85" hidden="false" customHeight="false" outlineLevel="0" collapsed="false">
      <c r="A355" s="10" t="s">
        <v>65</v>
      </c>
      <c r="B355" s="10" t="s">
        <v>1533</v>
      </c>
      <c r="C355" s="10" t="s">
        <v>1546</v>
      </c>
      <c r="D355" s="10" t="s">
        <v>1547</v>
      </c>
      <c r="E355" s="10" t="s">
        <v>1548</v>
      </c>
      <c r="F355" s="10" t="s">
        <v>292</v>
      </c>
      <c r="G355" s="10" t="s">
        <v>491</v>
      </c>
      <c r="H355" s="10" t="s">
        <v>1549</v>
      </c>
      <c r="I355" s="10" t="s">
        <v>44</v>
      </c>
      <c r="J355" s="10" t="s">
        <v>295</v>
      </c>
      <c r="K355" s="10" t="s">
        <v>296</v>
      </c>
      <c r="L355" s="10" t="s">
        <v>1550</v>
      </c>
      <c r="M355" s="10" t="s">
        <v>1551</v>
      </c>
    </row>
    <row r="356" customFormat="false" ht="23.85" hidden="false" customHeight="false" outlineLevel="0" collapsed="false">
      <c r="A356" s="10" t="s">
        <v>84</v>
      </c>
      <c r="B356" s="10" t="s">
        <v>1533</v>
      </c>
      <c r="C356" s="10" t="s">
        <v>1552</v>
      </c>
      <c r="D356" s="10" t="s">
        <v>1553</v>
      </c>
      <c r="E356" s="10" t="s">
        <v>1554</v>
      </c>
      <c r="F356" s="10" t="s">
        <v>441</v>
      </c>
      <c r="G356" s="10" t="s">
        <v>442</v>
      </c>
      <c r="H356" s="10" t="s">
        <v>1555</v>
      </c>
      <c r="I356" s="10" t="s">
        <v>44</v>
      </c>
      <c r="J356" s="10" t="s">
        <v>295</v>
      </c>
      <c r="K356" s="10" t="s">
        <v>296</v>
      </c>
      <c r="L356" s="10" t="s">
        <v>1556</v>
      </c>
      <c r="M356" s="10" t="s">
        <v>1557</v>
      </c>
    </row>
    <row r="357" customFormat="false" ht="23.85" hidden="false" customHeight="false" outlineLevel="0" collapsed="false">
      <c r="A357" s="10" t="s">
        <v>659</v>
      </c>
      <c r="B357" s="10" t="s">
        <v>1533</v>
      </c>
      <c r="C357" s="10" t="s">
        <v>1558</v>
      </c>
      <c r="D357" s="10" t="s">
        <v>302</v>
      </c>
      <c r="E357" s="10" t="s">
        <v>1559</v>
      </c>
      <c r="F357" s="10" t="s">
        <v>292</v>
      </c>
      <c r="G357" s="10" t="s">
        <v>662</v>
      </c>
      <c r="H357" s="10" t="s">
        <v>1560</v>
      </c>
      <c r="I357" s="10" t="s">
        <v>44</v>
      </c>
      <c r="J357" s="10" t="s">
        <v>295</v>
      </c>
      <c r="K357" s="10" t="s">
        <v>296</v>
      </c>
      <c r="L357" s="10" t="s">
        <v>1561</v>
      </c>
      <c r="M357" s="10" t="s">
        <v>1562</v>
      </c>
    </row>
    <row r="358" customFormat="false" ht="23.85" hidden="false" customHeight="false" outlineLevel="0" collapsed="false">
      <c r="A358" s="10" t="s">
        <v>65</v>
      </c>
      <c r="B358" s="10" t="s">
        <v>1533</v>
      </c>
      <c r="C358" s="10" t="s">
        <v>1563</v>
      </c>
      <c r="D358" s="10" t="s">
        <v>1564</v>
      </c>
      <c r="E358" s="10" t="s">
        <v>1565</v>
      </c>
      <c r="F358" s="10" t="s">
        <v>441</v>
      </c>
      <c r="G358" s="10" t="s">
        <v>551</v>
      </c>
      <c r="H358" s="10" t="s">
        <v>1566</v>
      </c>
      <c r="I358" s="10" t="s">
        <v>44</v>
      </c>
      <c r="J358" s="10" t="s">
        <v>891</v>
      </c>
      <c r="K358" s="10" t="s">
        <v>296</v>
      </c>
      <c r="L358" s="10" t="s">
        <v>1567</v>
      </c>
      <c r="M358" s="10" t="s">
        <v>1568</v>
      </c>
    </row>
    <row r="359" customFormat="false" ht="23.85" hidden="false" customHeight="false" outlineLevel="0" collapsed="false">
      <c r="A359" s="10" t="s">
        <v>76</v>
      </c>
      <c r="B359" s="10" t="s">
        <v>1533</v>
      </c>
      <c r="C359" s="10" t="s">
        <v>1569</v>
      </c>
      <c r="D359" s="10" t="s">
        <v>1570</v>
      </c>
      <c r="E359" s="10" t="s">
        <v>1571</v>
      </c>
      <c r="F359" s="10" t="s">
        <v>292</v>
      </c>
      <c r="G359" s="10" t="s">
        <v>684</v>
      </c>
      <c r="H359" s="10" t="s">
        <v>1572</v>
      </c>
      <c r="I359" s="10" t="s">
        <v>44</v>
      </c>
      <c r="J359" s="10" t="s">
        <v>1573</v>
      </c>
      <c r="K359" s="10" t="s">
        <v>296</v>
      </c>
      <c r="L359" s="10" t="s">
        <v>1574</v>
      </c>
      <c r="M359" s="10" t="s">
        <v>1575</v>
      </c>
    </row>
    <row r="360" customFormat="false" ht="23.85" hidden="false" customHeight="false" outlineLevel="0" collapsed="false">
      <c r="A360" s="10" t="s">
        <v>137</v>
      </c>
      <c r="B360" s="10" t="s">
        <v>1533</v>
      </c>
      <c r="C360" s="10" t="s">
        <v>1576</v>
      </c>
      <c r="D360" s="10" t="s">
        <v>1577</v>
      </c>
      <c r="E360" s="10" t="s">
        <v>1578</v>
      </c>
      <c r="F360" s="10" t="s">
        <v>441</v>
      </c>
      <c r="G360" s="10" t="s">
        <v>1217</v>
      </c>
      <c r="H360" s="10" t="s">
        <v>1579</v>
      </c>
      <c r="I360" s="10" t="s">
        <v>44</v>
      </c>
      <c r="J360" s="10" t="s">
        <v>295</v>
      </c>
      <c r="K360" s="10" t="s">
        <v>296</v>
      </c>
      <c r="L360" s="10" t="s">
        <v>1580</v>
      </c>
      <c r="M360" s="10" t="s">
        <v>1581</v>
      </c>
    </row>
    <row r="361" customFormat="false" ht="23.85" hidden="false" customHeight="false" outlineLevel="0" collapsed="false">
      <c r="A361" s="10" t="s">
        <v>152</v>
      </c>
      <c r="B361" s="10" t="s">
        <v>1533</v>
      </c>
      <c r="C361" s="10" t="s">
        <v>1582</v>
      </c>
      <c r="D361" s="10" t="s">
        <v>1583</v>
      </c>
      <c r="E361" s="10" t="s">
        <v>1584</v>
      </c>
      <c r="F361" s="10" t="s">
        <v>441</v>
      </c>
      <c r="G361" s="10" t="s">
        <v>551</v>
      </c>
      <c r="H361" s="10" t="s">
        <v>1585</v>
      </c>
      <c r="I361" s="10" t="s">
        <v>44</v>
      </c>
      <c r="J361" s="10" t="s">
        <v>1586</v>
      </c>
      <c r="K361" s="10" t="s">
        <v>296</v>
      </c>
      <c r="L361" s="10" t="s">
        <v>1587</v>
      </c>
      <c r="M361" s="10" t="s">
        <v>1588</v>
      </c>
    </row>
    <row r="362" customFormat="false" ht="23.85" hidden="false" customHeight="false" outlineLevel="0" collapsed="false">
      <c r="A362" s="10" t="s">
        <v>95</v>
      </c>
      <c r="B362" s="10" t="s">
        <v>1533</v>
      </c>
      <c r="C362" s="10" t="s">
        <v>1589</v>
      </c>
      <c r="D362" s="10" t="s">
        <v>302</v>
      </c>
      <c r="E362" s="10" t="s">
        <v>1590</v>
      </c>
      <c r="F362" s="10" t="s">
        <v>292</v>
      </c>
      <c r="G362" s="10" t="s">
        <v>322</v>
      </c>
      <c r="H362" s="10" t="s">
        <v>1591</v>
      </c>
      <c r="I362" s="10" t="s">
        <v>44</v>
      </c>
      <c r="J362" s="10" t="s">
        <v>295</v>
      </c>
      <c r="K362" s="10" t="s">
        <v>296</v>
      </c>
      <c r="L362" s="10" t="s">
        <v>1592</v>
      </c>
      <c r="M362" s="10" t="s">
        <v>1593</v>
      </c>
    </row>
    <row r="363" customFormat="false" ht="23.85" hidden="false" customHeight="false" outlineLevel="0" collapsed="false">
      <c r="A363" s="10" t="s">
        <v>95</v>
      </c>
      <c r="B363" s="10" t="s">
        <v>1533</v>
      </c>
      <c r="C363" s="10" t="s">
        <v>1594</v>
      </c>
      <c r="D363" s="10" t="s">
        <v>302</v>
      </c>
      <c r="E363" s="10" t="s">
        <v>1595</v>
      </c>
      <c r="F363" s="10" t="s">
        <v>292</v>
      </c>
      <c r="G363" s="10" t="s">
        <v>311</v>
      </c>
      <c r="H363" s="10" t="s">
        <v>1596</v>
      </c>
      <c r="I363" s="10" t="s">
        <v>44</v>
      </c>
      <c r="J363" s="10" t="s">
        <v>295</v>
      </c>
      <c r="K363" s="10" t="s">
        <v>296</v>
      </c>
      <c r="L363" s="10" t="s">
        <v>1597</v>
      </c>
      <c r="M363" s="10" t="s">
        <v>1598</v>
      </c>
    </row>
    <row r="364" customFormat="false" ht="23.85" hidden="false" customHeight="false" outlineLevel="0" collapsed="false">
      <c r="A364" s="10" t="s">
        <v>104</v>
      </c>
      <c r="B364" s="10" t="s">
        <v>1533</v>
      </c>
      <c r="C364" s="10" t="s">
        <v>1599</v>
      </c>
      <c r="D364" s="10" t="s">
        <v>302</v>
      </c>
      <c r="E364" s="10" t="s">
        <v>1600</v>
      </c>
      <c r="F364" s="10" t="s">
        <v>292</v>
      </c>
      <c r="G364" s="10" t="s">
        <v>318</v>
      </c>
      <c r="H364" s="10" t="s">
        <v>1109</v>
      </c>
      <c r="I364" s="10" t="s">
        <v>44</v>
      </c>
      <c r="J364" s="10" t="s">
        <v>295</v>
      </c>
      <c r="K364" s="10" t="s">
        <v>296</v>
      </c>
      <c r="L364" s="10" t="s">
        <v>1601</v>
      </c>
      <c r="M364" s="10" t="s">
        <v>1602</v>
      </c>
    </row>
    <row r="365" customFormat="false" ht="23.85" hidden="false" customHeight="false" outlineLevel="0" collapsed="false">
      <c r="A365" s="10" t="s">
        <v>113</v>
      </c>
      <c r="B365" s="10" t="s">
        <v>1533</v>
      </c>
      <c r="C365" s="10" t="s">
        <v>1603</v>
      </c>
      <c r="D365" s="10" t="s">
        <v>302</v>
      </c>
      <c r="E365" s="10" t="s">
        <v>1604</v>
      </c>
      <c r="F365" s="10" t="s">
        <v>292</v>
      </c>
      <c r="G365" s="10" t="s">
        <v>311</v>
      </c>
      <c r="H365" s="10" t="s">
        <v>1605</v>
      </c>
      <c r="I365" s="10" t="s">
        <v>44</v>
      </c>
      <c r="J365" s="10" t="s">
        <v>295</v>
      </c>
      <c r="K365" s="10" t="s">
        <v>296</v>
      </c>
      <c r="L365" s="10" t="s">
        <v>1606</v>
      </c>
      <c r="M365" s="10" t="s">
        <v>1607</v>
      </c>
    </row>
    <row r="366" customFormat="false" ht="23.85" hidden="false" customHeight="false" outlineLevel="0" collapsed="false">
      <c r="A366" s="10" t="s">
        <v>129</v>
      </c>
      <c r="B366" s="10" t="s">
        <v>1533</v>
      </c>
      <c r="C366" s="10" t="s">
        <v>1608</v>
      </c>
      <c r="D366" s="10" t="s">
        <v>302</v>
      </c>
      <c r="E366" s="10" t="s">
        <v>1609</v>
      </c>
      <c r="F366" s="10" t="s">
        <v>292</v>
      </c>
      <c r="G366" s="10" t="s">
        <v>311</v>
      </c>
      <c r="H366" s="10" t="s">
        <v>1109</v>
      </c>
      <c r="I366" s="10" t="s">
        <v>44</v>
      </c>
      <c r="J366" s="10" t="s">
        <v>295</v>
      </c>
      <c r="K366" s="10" t="s">
        <v>296</v>
      </c>
      <c r="L366" s="10" t="s">
        <v>1610</v>
      </c>
      <c r="M366" s="10" t="s">
        <v>1611</v>
      </c>
    </row>
    <row r="367" customFormat="false" ht="23.85" hidden="false" customHeight="false" outlineLevel="0" collapsed="false">
      <c r="A367" s="10" t="s">
        <v>176</v>
      </c>
      <c r="B367" s="10" t="s">
        <v>1533</v>
      </c>
      <c r="C367" s="10" t="s">
        <v>1612</v>
      </c>
      <c r="D367" s="10" t="s">
        <v>302</v>
      </c>
      <c r="E367" s="10" t="s">
        <v>1613</v>
      </c>
      <c r="F367" s="10" t="s">
        <v>292</v>
      </c>
      <c r="G367" s="10" t="s">
        <v>849</v>
      </c>
      <c r="H367" s="10" t="s">
        <v>1505</v>
      </c>
      <c r="I367" s="10" t="s">
        <v>44</v>
      </c>
      <c r="J367" s="10" t="s">
        <v>295</v>
      </c>
      <c r="K367" s="10" t="s">
        <v>296</v>
      </c>
      <c r="L367" s="10" t="s">
        <v>1614</v>
      </c>
      <c r="M367" s="10" t="s">
        <v>1615</v>
      </c>
    </row>
    <row r="368" customFormat="false" ht="23.85" hidden="false" customHeight="false" outlineLevel="0" collapsed="false">
      <c r="A368" s="10" t="s">
        <v>1616</v>
      </c>
      <c r="B368" s="10" t="s">
        <v>1533</v>
      </c>
      <c r="C368" s="10" t="s">
        <v>1617</v>
      </c>
      <c r="D368" s="10" t="s">
        <v>302</v>
      </c>
      <c r="E368" s="10" t="s">
        <v>1618</v>
      </c>
      <c r="F368" s="10" t="s">
        <v>356</v>
      </c>
      <c r="G368" s="10" t="s">
        <v>213</v>
      </c>
      <c r="H368" s="10" t="s">
        <v>1619</v>
      </c>
      <c r="I368" s="10" t="s">
        <v>44</v>
      </c>
      <c r="J368" s="10" t="s">
        <v>1620</v>
      </c>
      <c r="K368" s="10" t="s">
        <v>296</v>
      </c>
      <c r="L368" s="10" t="s">
        <v>1621</v>
      </c>
      <c r="M368" s="10" t="s">
        <v>910</v>
      </c>
    </row>
    <row r="369" customFormat="false" ht="23.85" hidden="false" customHeight="false" outlineLevel="0" collapsed="false">
      <c r="A369" s="10" t="s">
        <v>1616</v>
      </c>
      <c r="B369" s="10" t="s">
        <v>1533</v>
      </c>
      <c r="C369" s="10" t="s">
        <v>1622</v>
      </c>
      <c r="D369" s="10" t="s">
        <v>302</v>
      </c>
      <c r="E369" s="10" t="s">
        <v>1623</v>
      </c>
      <c r="F369" s="10" t="s">
        <v>356</v>
      </c>
      <c r="G369" s="10" t="s">
        <v>213</v>
      </c>
      <c r="H369" s="10" t="s">
        <v>1624</v>
      </c>
      <c r="I369" s="10" t="s">
        <v>44</v>
      </c>
      <c r="J369" s="10" t="s">
        <v>1620</v>
      </c>
      <c r="K369" s="10" t="s">
        <v>296</v>
      </c>
      <c r="L369" s="10" t="s">
        <v>1621</v>
      </c>
      <c r="M369" s="10" t="s">
        <v>1625</v>
      </c>
    </row>
    <row r="370" customFormat="false" ht="23.85" hidden="false" customHeight="false" outlineLevel="0" collapsed="false">
      <c r="A370" s="10" t="s">
        <v>1616</v>
      </c>
      <c r="B370" s="10" t="s">
        <v>1533</v>
      </c>
      <c r="C370" s="10" t="s">
        <v>1626</v>
      </c>
      <c r="D370" s="10" t="s">
        <v>302</v>
      </c>
      <c r="E370" s="10" t="s">
        <v>1627</v>
      </c>
      <c r="F370" s="10" t="s">
        <v>356</v>
      </c>
      <c r="G370" s="10" t="s">
        <v>213</v>
      </c>
      <c r="H370" s="10" t="s">
        <v>477</v>
      </c>
      <c r="I370" s="10" t="s">
        <v>44</v>
      </c>
      <c r="J370" s="10" t="s">
        <v>1620</v>
      </c>
      <c r="K370" s="10" t="s">
        <v>296</v>
      </c>
      <c r="L370" s="10" t="s">
        <v>1621</v>
      </c>
      <c r="M370" s="10" t="s">
        <v>1628</v>
      </c>
    </row>
    <row r="371" customFormat="false" ht="23.85" hidden="false" customHeight="false" outlineLevel="0" collapsed="false">
      <c r="A371" s="10" t="s">
        <v>1616</v>
      </c>
      <c r="B371" s="10" t="s">
        <v>1533</v>
      </c>
      <c r="C371" s="10" t="s">
        <v>1629</v>
      </c>
      <c r="D371" s="10" t="s">
        <v>302</v>
      </c>
      <c r="E371" s="10" t="s">
        <v>1630</v>
      </c>
      <c r="F371" s="10" t="s">
        <v>356</v>
      </c>
      <c r="G371" s="10" t="s">
        <v>213</v>
      </c>
      <c r="H371" s="10" t="s">
        <v>1624</v>
      </c>
      <c r="I371" s="10" t="s">
        <v>44</v>
      </c>
      <c r="J371" s="10" t="s">
        <v>1620</v>
      </c>
      <c r="K371" s="10" t="s">
        <v>296</v>
      </c>
      <c r="L371" s="10" t="s">
        <v>1621</v>
      </c>
      <c r="M371" s="10" t="s">
        <v>1631</v>
      </c>
    </row>
    <row r="372" customFormat="false" ht="23.85" hidden="false" customHeight="false" outlineLevel="0" collapsed="false">
      <c r="A372" s="10" t="s">
        <v>1616</v>
      </c>
      <c r="B372" s="10" t="s">
        <v>1533</v>
      </c>
      <c r="C372" s="10" t="s">
        <v>1632</v>
      </c>
      <c r="D372" s="10" t="s">
        <v>302</v>
      </c>
      <c r="E372" s="10" t="s">
        <v>1633</v>
      </c>
      <c r="F372" s="10" t="s">
        <v>356</v>
      </c>
      <c r="G372" s="10" t="s">
        <v>213</v>
      </c>
      <c r="H372" s="10" t="s">
        <v>1634</v>
      </c>
      <c r="I372" s="10" t="s">
        <v>44</v>
      </c>
      <c r="J372" s="10" t="s">
        <v>1620</v>
      </c>
      <c r="K372" s="10" t="s">
        <v>296</v>
      </c>
      <c r="L372" s="10" t="s">
        <v>1621</v>
      </c>
      <c r="M372" s="10" t="s">
        <v>1635</v>
      </c>
    </row>
    <row r="373" customFormat="false" ht="35.05" hidden="false" customHeight="false" outlineLevel="0" collapsed="false">
      <c r="A373" s="10" t="s">
        <v>1616</v>
      </c>
      <c r="B373" s="10" t="s">
        <v>1533</v>
      </c>
      <c r="C373" s="10" t="s">
        <v>1636</v>
      </c>
      <c r="D373" s="10" t="s">
        <v>302</v>
      </c>
      <c r="E373" s="10" t="s">
        <v>1637</v>
      </c>
      <c r="F373" s="10" t="s">
        <v>356</v>
      </c>
      <c r="G373" s="10" t="s">
        <v>213</v>
      </c>
      <c r="H373" s="10" t="s">
        <v>1638</v>
      </c>
      <c r="I373" s="10" t="s">
        <v>44</v>
      </c>
      <c r="J373" s="10" t="s">
        <v>1620</v>
      </c>
      <c r="K373" s="10" t="s">
        <v>296</v>
      </c>
      <c r="L373" s="10" t="s">
        <v>1621</v>
      </c>
      <c r="M373" s="10" t="s">
        <v>1639</v>
      </c>
    </row>
  </sheetData>
  <dataValidations count="3">
    <dataValidation allowBlank="true" error="Elijan una opción de la lista" errorStyle="stop" operator="between" showDropDown="false" showErrorMessage="false" showInputMessage="false" sqref="F5:F373" type="list">
      <formula1>"Texto,Entero,Decimal,Fecha,Booleano,Código,Coordenada / geometría"</formula1>
      <formula2>0</formula2>
    </dataValidation>
    <dataValidation allowBlank="true" error="Elijan una opción de la lista" errorStyle="stop" operator="between" showDropDown="false" showErrorMessage="false" showInputMessage="false" sqref="I5:I373" type="list">
      <formula1>"Sí,No"</formula1>
      <formula2>0</formula2>
    </dataValidation>
    <dataValidation allowBlank="true" error="Elijan una opción de la lista" errorStyle="stop" operator="between" showDropDown="false" showErrorMessage="false" showInputMessage="false" sqref="K5:K373" type="list">
      <formula1>"Pública,Interna,Sensible,Dato personal"</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83203125" defaultRowHeight="15" zeroHeight="false" outlineLevelRow="0" outlineLevelCol="0"/>
  <cols>
    <col collapsed="false" customWidth="true" hidden="false" outlineLevel="0" max="1" min="1" style="0" width="5"/>
    <col collapsed="false" customWidth="true" hidden="false" outlineLevel="0" max="2" min="2" style="0" width="16"/>
    <col collapsed="false" customWidth="true" hidden="false" outlineLevel="0" max="4" min="3" style="0" width="36"/>
    <col collapsed="false" customWidth="true" hidden="false" outlineLevel="0" max="5" min="5" style="0" width="30"/>
    <col collapsed="false" customWidth="true" hidden="false" outlineLevel="0" max="6" min="6" style="0" width="16"/>
    <col collapsed="false" customWidth="true" hidden="false" outlineLevel="0" max="7" min="7" style="0" width="12"/>
    <col collapsed="false" customWidth="true" hidden="false" outlineLevel="0" max="8" min="8" style="0" width="30"/>
  </cols>
  <sheetData>
    <row r="1" customFormat="false" ht="18" hidden="false" customHeight="true" outlineLevel="0" collapsed="false">
      <c r="A1" s="6" t="s">
        <v>1640</v>
      </c>
    </row>
    <row r="2" customFormat="false" ht="15" hidden="false" customHeight="false" outlineLevel="0" collapsed="false">
      <c r="A2" s="7" t="s">
        <v>1641</v>
      </c>
    </row>
    <row r="3" customFormat="false" ht="42" hidden="false" customHeight="true" outlineLevel="0" collapsed="false">
      <c r="A3" s="8" t="s">
        <v>1642</v>
      </c>
      <c r="B3" s="8" t="s">
        <v>1643</v>
      </c>
      <c r="C3" s="8" t="s">
        <v>1644</v>
      </c>
      <c r="D3" s="8" t="s">
        <v>1645</v>
      </c>
      <c r="E3" s="8" t="s">
        <v>1646</v>
      </c>
      <c r="F3" s="8" t="s">
        <v>1647</v>
      </c>
      <c r="G3" s="8" t="s">
        <v>1648</v>
      </c>
      <c r="H3" s="8" t="s">
        <v>1649</v>
      </c>
    </row>
    <row r="4" customFormat="false" ht="51.75" hidden="false" customHeight="true" outlineLevel="0" collapsed="false">
      <c r="A4" s="9" t="s">
        <v>323</v>
      </c>
      <c r="B4" s="9" t="s">
        <v>1650</v>
      </c>
      <c r="C4" s="9" t="s">
        <v>1651</v>
      </c>
      <c r="D4" s="9" t="s">
        <v>1652</v>
      </c>
      <c r="E4" s="9" t="s">
        <v>1653</v>
      </c>
      <c r="F4" s="9" t="s">
        <v>1654</v>
      </c>
      <c r="G4" s="9" t="s">
        <v>36</v>
      </c>
      <c r="H4" s="9" t="s">
        <v>1655</v>
      </c>
    </row>
    <row r="5" customFormat="false" ht="46.25" hidden="false" customHeight="false" outlineLevel="0" collapsed="false">
      <c r="A5" s="10" t="n">
        <v>1</v>
      </c>
      <c r="B5" s="10" t="s">
        <v>1656</v>
      </c>
      <c r="C5" s="10" t="s">
        <v>1657</v>
      </c>
      <c r="D5" s="10" t="s">
        <v>1658</v>
      </c>
      <c r="E5" s="10" t="s">
        <v>1659</v>
      </c>
      <c r="F5" s="10" t="s">
        <v>1654</v>
      </c>
      <c r="G5" s="10" t="s">
        <v>267</v>
      </c>
      <c r="H5" s="10" t="s">
        <v>1660</v>
      </c>
    </row>
    <row r="6" customFormat="false" ht="35.05" hidden="false" customHeight="false" outlineLevel="0" collapsed="false">
      <c r="A6" s="10" t="n">
        <v>2</v>
      </c>
      <c r="B6" s="10" t="s">
        <v>1656</v>
      </c>
      <c r="C6" s="10" t="s">
        <v>1661</v>
      </c>
      <c r="D6" s="10" t="s">
        <v>1662</v>
      </c>
      <c r="E6" s="10" t="s">
        <v>1663</v>
      </c>
      <c r="F6" s="10" t="s">
        <v>1664</v>
      </c>
      <c r="G6" s="10" t="s">
        <v>1665</v>
      </c>
      <c r="H6" s="10" t="s">
        <v>1666</v>
      </c>
    </row>
    <row r="7" customFormat="false" ht="46.25" hidden="false" customHeight="false" outlineLevel="0" collapsed="false">
      <c r="A7" s="10" t="n">
        <v>3</v>
      </c>
      <c r="B7" s="10" t="s">
        <v>1656</v>
      </c>
      <c r="C7" s="10" t="s">
        <v>1667</v>
      </c>
      <c r="D7" s="10" t="s">
        <v>1668</v>
      </c>
      <c r="E7" s="10" t="s">
        <v>1669</v>
      </c>
      <c r="F7" s="10" t="s">
        <v>1670</v>
      </c>
      <c r="G7" s="10" t="s">
        <v>36</v>
      </c>
      <c r="H7" s="10" t="s">
        <v>1671</v>
      </c>
    </row>
    <row r="8" customFormat="false" ht="46.25" hidden="false" customHeight="false" outlineLevel="0" collapsed="false">
      <c r="A8" s="10" t="n">
        <v>4</v>
      </c>
      <c r="B8" s="10" t="s">
        <v>1656</v>
      </c>
      <c r="C8" s="10" t="s">
        <v>1672</v>
      </c>
      <c r="D8" s="10" t="s">
        <v>1673</v>
      </c>
      <c r="E8" s="10" t="s">
        <v>1674</v>
      </c>
      <c r="F8" s="10" t="s">
        <v>1670</v>
      </c>
      <c r="G8" s="10" t="s">
        <v>1675</v>
      </c>
      <c r="H8" s="10" t="s">
        <v>1676</v>
      </c>
    </row>
    <row r="9" customFormat="false" ht="35.05" hidden="false" customHeight="false" outlineLevel="0" collapsed="false">
      <c r="A9" s="10" t="n">
        <v>5</v>
      </c>
      <c r="B9" s="10" t="s">
        <v>1656</v>
      </c>
      <c r="C9" s="10" t="s">
        <v>1677</v>
      </c>
      <c r="D9" s="10" t="s">
        <v>1678</v>
      </c>
      <c r="E9" s="10" t="s">
        <v>1679</v>
      </c>
      <c r="F9" s="10" t="s">
        <v>1670</v>
      </c>
      <c r="G9" s="10" t="s">
        <v>76</v>
      </c>
      <c r="H9" s="10" t="s">
        <v>1680</v>
      </c>
    </row>
    <row r="10" customFormat="false" ht="35.05" hidden="false" customHeight="false" outlineLevel="0" collapsed="false">
      <c r="A10" s="10" t="n">
        <v>6</v>
      </c>
      <c r="B10" s="10" t="s">
        <v>1656</v>
      </c>
      <c r="C10" s="10" t="s">
        <v>1681</v>
      </c>
      <c r="D10" s="10" t="s">
        <v>1682</v>
      </c>
      <c r="E10" s="10" t="s">
        <v>1683</v>
      </c>
      <c r="F10" s="10" t="s">
        <v>1670</v>
      </c>
      <c r="G10" s="10" t="s">
        <v>95</v>
      </c>
      <c r="H10" s="10" t="s">
        <v>1684</v>
      </c>
    </row>
    <row r="11" customFormat="false" ht="46.25" hidden="false" customHeight="false" outlineLevel="0" collapsed="false">
      <c r="A11" s="10" t="n">
        <v>7</v>
      </c>
      <c r="B11" s="10" t="s">
        <v>1656</v>
      </c>
      <c r="C11" s="10" t="s">
        <v>1685</v>
      </c>
      <c r="D11" s="10" t="s">
        <v>1686</v>
      </c>
      <c r="E11" s="10" t="s">
        <v>1687</v>
      </c>
      <c r="F11" s="10" t="s">
        <v>1654</v>
      </c>
      <c r="G11" s="10" t="s">
        <v>104</v>
      </c>
      <c r="H11" s="10" t="s">
        <v>1688</v>
      </c>
    </row>
    <row r="12" customFormat="false" ht="35.05" hidden="false" customHeight="false" outlineLevel="0" collapsed="false">
      <c r="A12" s="10" t="n">
        <v>8</v>
      </c>
      <c r="B12" s="10" t="s">
        <v>1656</v>
      </c>
      <c r="C12" s="10" t="s">
        <v>1689</v>
      </c>
      <c r="D12" s="10" t="s">
        <v>1690</v>
      </c>
      <c r="E12" s="10" t="s">
        <v>1691</v>
      </c>
      <c r="F12" s="10" t="s">
        <v>1670</v>
      </c>
      <c r="G12" s="10" t="s">
        <v>1692</v>
      </c>
      <c r="H12" s="10" t="s">
        <v>1693</v>
      </c>
    </row>
    <row r="13" customFormat="false" ht="35.05" hidden="false" customHeight="false" outlineLevel="0" collapsed="false">
      <c r="A13" s="10" t="n">
        <v>9</v>
      </c>
      <c r="B13" s="10" t="s">
        <v>1656</v>
      </c>
      <c r="C13" s="10" t="s">
        <v>1694</v>
      </c>
      <c r="D13" s="10" t="s">
        <v>1695</v>
      </c>
      <c r="E13" s="10" t="s">
        <v>1696</v>
      </c>
      <c r="F13" s="10" t="s">
        <v>1654</v>
      </c>
      <c r="G13" s="10" t="s">
        <v>129</v>
      </c>
      <c r="H13" s="10" t="s">
        <v>1697</v>
      </c>
    </row>
    <row r="14" customFormat="false" ht="46.25" hidden="false" customHeight="false" outlineLevel="0" collapsed="false">
      <c r="A14" s="10" t="n">
        <v>10</v>
      </c>
      <c r="B14" s="10" t="s">
        <v>1656</v>
      </c>
      <c r="C14" s="10" t="s">
        <v>1698</v>
      </c>
      <c r="D14" s="10" t="s">
        <v>1699</v>
      </c>
      <c r="E14" s="10" t="s">
        <v>1700</v>
      </c>
      <c r="F14" s="10" t="s">
        <v>1654</v>
      </c>
      <c r="G14" s="10" t="s">
        <v>1701</v>
      </c>
      <c r="H14" s="10" t="s">
        <v>1702</v>
      </c>
    </row>
    <row r="15" customFormat="false" ht="35.05" hidden="false" customHeight="false" outlineLevel="0" collapsed="false">
      <c r="A15" s="10" t="n">
        <v>11</v>
      </c>
      <c r="B15" s="10" t="s">
        <v>1656</v>
      </c>
      <c r="C15" s="10" t="s">
        <v>1703</v>
      </c>
      <c r="D15" s="10" t="s">
        <v>1704</v>
      </c>
      <c r="E15" s="10" t="s">
        <v>1705</v>
      </c>
      <c r="F15" s="10" t="s">
        <v>1654</v>
      </c>
      <c r="G15" s="10" t="s">
        <v>1706</v>
      </c>
      <c r="H15" s="10" t="s">
        <v>1707</v>
      </c>
    </row>
    <row r="16" customFormat="false" ht="35.05" hidden="false" customHeight="false" outlineLevel="0" collapsed="false">
      <c r="A16" s="10" t="n">
        <v>12</v>
      </c>
      <c r="B16" s="10" t="s">
        <v>1656</v>
      </c>
      <c r="C16" s="10" t="s">
        <v>1708</v>
      </c>
      <c r="D16" s="10" t="s">
        <v>1709</v>
      </c>
      <c r="E16" s="10" t="s">
        <v>1710</v>
      </c>
      <c r="F16" s="10" t="s">
        <v>1654</v>
      </c>
      <c r="G16" s="10" t="s">
        <v>1711</v>
      </c>
      <c r="H16" s="10" t="s">
        <v>1712</v>
      </c>
    </row>
    <row r="17" customFormat="false" ht="46.25" hidden="false" customHeight="false" outlineLevel="0" collapsed="false">
      <c r="A17" s="10" t="n">
        <v>13</v>
      </c>
      <c r="B17" s="10" t="s">
        <v>1656</v>
      </c>
      <c r="C17" s="10" t="s">
        <v>1713</v>
      </c>
      <c r="D17" s="10" t="s">
        <v>1714</v>
      </c>
      <c r="E17" s="10" t="s">
        <v>1715</v>
      </c>
      <c r="F17" s="10" t="s">
        <v>1670</v>
      </c>
      <c r="G17" s="10" t="s">
        <v>1716</v>
      </c>
      <c r="H17" s="10" t="s">
        <v>1717</v>
      </c>
    </row>
    <row r="18" customFormat="false" ht="46.25" hidden="false" customHeight="false" outlineLevel="0" collapsed="false">
      <c r="A18" s="10" t="n">
        <v>14</v>
      </c>
      <c r="B18" s="10" t="s">
        <v>1656</v>
      </c>
      <c r="C18" s="10" t="s">
        <v>1718</v>
      </c>
      <c r="D18" s="10" t="s">
        <v>1719</v>
      </c>
      <c r="E18" s="10" t="s">
        <v>1720</v>
      </c>
      <c r="F18" s="10" t="s">
        <v>1670</v>
      </c>
      <c r="G18" s="10"/>
      <c r="H18" s="10" t="s">
        <v>1721</v>
      </c>
    </row>
    <row r="19" customFormat="false" ht="15" hidden="false" customHeight="false" outlineLevel="0" collapsed="false">
      <c r="A19" s="10"/>
      <c r="B19" s="10"/>
      <c r="C19" s="10"/>
      <c r="D19" s="10"/>
      <c r="E19" s="10"/>
      <c r="F19" s="10"/>
      <c r="G19" s="10"/>
      <c r="H19" s="10"/>
    </row>
    <row r="20" customFormat="false" ht="15" hidden="false" customHeight="false" outlineLevel="0" collapsed="false">
      <c r="A20" s="10"/>
      <c r="B20" s="10"/>
      <c r="C20" s="10"/>
      <c r="D20" s="10"/>
      <c r="E20" s="10"/>
      <c r="F20" s="10"/>
      <c r="G20" s="10"/>
      <c r="H20" s="10"/>
    </row>
    <row r="21" customFormat="false" ht="15" hidden="false" customHeight="false" outlineLevel="0" collapsed="false">
      <c r="A21" s="10"/>
      <c r="B21" s="10"/>
      <c r="C21" s="10"/>
      <c r="D21" s="10"/>
      <c r="E21" s="10"/>
      <c r="F21" s="10"/>
      <c r="G21" s="10"/>
      <c r="H21" s="10"/>
    </row>
    <row r="22" customFormat="false" ht="15" hidden="false" customHeight="false" outlineLevel="0" collapsed="false">
      <c r="A22" s="10"/>
      <c r="B22" s="10"/>
      <c r="C22" s="10"/>
      <c r="D22" s="10"/>
      <c r="E22" s="10"/>
      <c r="F22" s="10"/>
      <c r="G22" s="10"/>
      <c r="H22" s="10"/>
    </row>
    <row r="23" customFormat="false" ht="15" hidden="false" customHeight="false" outlineLevel="0" collapsed="false">
      <c r="A23" s="10"/>
      <c r="B23" s="10"/>
      <c r="C23" s="10"/>
      <c r="D23" s="10"/>
      <c r="E23" s="10"/>
      <c r="F23" s="10"/>
      <c r="G23" s="10"/>
      <c r="H23" s="10"/>
    </row>
    <row r="24" customFormat="false" ht="15" hidden="false" customHeight="false" outlineLevel="0" collapsed="false">
      <c r="A24" s="10"/>
      <c r="B24" s="10"/>
      <c r="C24" s="10"/>
      <c r="D24" s="10"/>
      <c r="E24" s="10"/>
      <c r="F24" s="10"/>
      <c r="G24" s="10"/>
      <c r="H24" s="10"/>
    </row>
    <row r="25" customFormat="false" ht="15" hidden="false" customHeight="false" outlineLevel="0" collapsed="false">
      <c r="A25" s="10"/>
      <c r="B25" s="10"/>
      <c r="C25" s="10"/>
      <c r="D25" s="10"/>
      <c r="E25" s="10"/>
      <c r="F25" s="10"/>
      <c r="G25" s="10"/>
      <c r="H25" s="10"/>
    </row>
    <row r="26" customFormat="false" ht="15" hidden="false" customHeight="false" outlineLevel="0" collapsed="false">
      <c r="A26" s="10"/>
      <c r="B26" s="10"/>
      <c r="C26" s="10"/>
      <c r="D26" s="10"/>
      <c r="E26" s="10"/>
      <c r="F26" s="10"/>
      <c r="G26" s="10"/>
      <c r="H26" s="10"/>
    </row>
    <row r="27" customFormat="false" ht="15" hidden="false" customHeight="false" outlineLevel="0" collapsed="false">
      <c r="A27" s="10"/>
      <c r="B27" s="10"/>
      <c r="C27" s="10"/>
      <c r="D27" s="10"/>
      <c r="E27" s="10"/>
      <c r="F27" s="10"/>
      <c r="G27" s="10"/>
      <c r="H27" s="10"/>
    </row>
    <row r="28" customFormat="false" ht="15" hidden="false" customHeight="false" outlineLevel="0" collapsed="false">
      <c r="A28" s="10"/>
      <c r="B28" s="10"/>
      <c r="C28" s="10"/>
      <c r="D28" s="10"/>
      <c r="E28" s="10"/>
      <c r="F28" s="10"/>
      <c r="G28" s="10"/>
      <c r="H28" s="10"/>
    </row>
    <row r="29" customFormat="false" ht="15" hidden="false" customHeight="false" outlineLevel="0" collapsed="false">
      <c r="A29" s="10"/>
      <c r="B29" s="10"/>
      <c r="C29" s="10"/>
      <c r="D29" s="10"/>
      <c r="E29" s="10"/>
      <c r="F29" s="10"/>
      <c r="G29" s="10"/>
      <c r="H29" s="10"/>
    </row>
    <row r="30" customFormat="false" ht="15" hidden="false" customHeight="false" outlineLevel="0" collapsed="false">
      <c r="A30" s="10"/>
      <c r="B30" s="10"/>
      <c r="C30" s="10"/>
      <c r="D30" s="10"/>
      <c r="E30" s="10"/>
      <c r="F30" s="10"/>
      <c r="G30" s="10"/>
      <c r="H30" s="10"/>
    </row>
    <row r="31" customFormat="false" ht="15" hidden="false" customHeight="false" outlineLevel="0" collapsed="false">
      <c r="A31" s="10"/>
      <c r="B31" s="10"/>
      <c r="C31" s="10"/>
      <c r="D31" s="10"/>
      <c r="E31" s="10"/>
      <c r="F31" s="10"/>
      <c r="G31" s="10"/>
      <c r="H31" s="10"/>
    </row>
    <row r="32" customFormat="false" ht="15" hidden="false" customHeight="false" outlineLevel="0" collapsed="false">
      <c r="A32" s="10"/>
      <c r="B32" s="10"/>
      <c r="C32" s="10"/>
      <c r="D32" s="10"/>
      <c r="E32" s="10"/>
      <c r="F32" s="10"/>
      <c r="G32" s="10"/>
      <c r="H32" s="10"/>
    </row>
    <row r="33" customFormat="false" ht="15" hidden="false" customHeight="false" outlineLevel="0" collapsed="false">
      <c r="A33" s="10"/>
      <c r="B33" s="10"/>
      <c r="C33" s="10"/>
      <c r="D33" s="10"/>
      <c r="E33" s="10"/>
      <c r="F33" s="10"/>
      <c r="G33" s="10"/>
      <c r="H33" s="10"/>
    </row>
    <row r="34" customFormat="false" ht="15" hidden="false" customHeight="false" outlineLevel="0" collapsed="false">
      <c r="A34" s="10"/>
      <c r="B34" s="10"/>
      <c r="C34" s="10"/>
      <c r="D34" s="10"/>
      <c r="E34" s="10"/>
      <c r="F34" s="10"/>
      <c r="G34" s="10"/>
      <c r="H34" s="10"/>
    </row>
    <row r="35" customFormat="false" ht="15" hidden="false" customHeight="false" outlineLevel="0" collapsed="false">
      <c r="A35" s="10"/>
      <c r="B35" s="10"/>
      <c r="C35" s="10"/>
      <c r="D35" s="10"/>
      <c r="E35" s="10"/>
      <c r="F35" s="10"/>
      <c r="G35" s="10"/>
      <c r="H35" s="10"/>
    </row>
    <row r="36" customFormat="false" ht="15" hidden="false" customHeight="false" outlineLevel="0" collapsed="false">
      <c r="A36" s="10"/>
      <c r="B36" s="10"/>
      <c r="C36" s="10"/>
      <c r="D36" s="10"/>
      <c r="E36" s="10"/>
      <c r="F36" s="10"/>
      <c r="G36" s="10"/>
      <c r="H36" s="10"/>
    </row>
    <row r="37" customFormat="false" ht="15" hidden="false" customHeight="false" outlineLevel="0" collapsed="false">
      <c r="A37" s="10"/>
      <c r="B37" s="10"/>
      <c r="C37" s="10"/>
      <c r="D37" s="10"/>
      <c r="E37" s="10"/>
      <c r="F37" s="10"/>
      <c r="G37" s="10"/>
      <c r="H37" s="10"/>
    </row>
    <row r="38" customFormat="false" ht="15" hidden="false" customHeight="false" outlineLevel="0" collapsed="false">
      <c r="A38" s="10"/>
      <c r="B38" s="10"/>
      <c r="C38" s="10"/>
      <c r="D38" s="10"/>
      <c r="E38" s="10"/>
      <c r="F38" s="10"/>
      <c r="G38" s="10"/>
      <c r="H38" s="10"/>
    </row>
    <row r="39" customFormat="false" ht="15" hidden="false" customHeight="false" outlineLevel="0" collapsed="false">
      <c r="A39" s="10"/>
      <c r="B39" s="10"/>
      <c r="C39" s="10"/>
      <c r="D39" s="10"/>
      <c r="E39" s="10"/>
      <c r="F39" s="10"/>
      <c r="G39" s="10"/>
      <c r="H39" s="10"/>
    </row>
    <row r="40" customFormat="false" ht="15" hidden="false" customHeight="false" outlineLevel="0" collapsed="false">
      <c r="A40" s="10"/>
      <c r="B40" s="10"/>
      <c r="C40" s="10"/>
      <c r="D40" s="10"/>
      <c r="E40" s="10"/>
      <c r="F40" s="10"/>
      <c r="G40" s="10"/>
      <c r="H40" s="10"/>
    </row>
    <row r="41" customFormat="false" ht="15" hidden="false" customHeight="false" outlineLevel="0" collapsed="false">
      <c r="A41" s="10"/>
      <c r="B41" s="10"/>
      <c r="C41" s="10"/>
      <c r="D41" s="10"/>
      <c r="E41" s="10"/>
      <c r="F41" s="10"/>
      <c r="G41" s="10"/>
      <c r="H41" s="10"/>
    </row>
    <row r="42" customFormat="false" ht="15" hidden="false" customHeight="false" outlineLevel="0" collapsed="false">
      <c r="A42" s="10"/>
      <c r="B42" s="10"/>
      <c r="C42" s="10"/>
      <c r="D42" s="10"/>
      <c r="E42" s="10"/>
      <c r="F42" s="10"/>
      <c r="G42" s="10"/>
      <c r="H42" s="10"/>
    </row>
    <row r="43" customFormat="false" ht="15" hidden="false" customHeight="false" outlineLevel="0" collapsed="false">
      <c r="A43" s="10"/>
      <c r="B43" s="10"/>
      <c r="C43" s="10"/>
      <c r="D43" s="10"/>
      <c r="E43" s="10"/>
      <c r="F43" s="10"/>
      <c r="G43" s="10"/>
      <c r="H43" s="10"/>
    </row>
    <row r="44" customFormat="false" ht="15" hidden="false" customHeight="false" outlineLevel="0" collapsed="false">
      <c r="A44" s="10"/>
      <c r="B44" s="10"/>
      <c r="C44" s="10"/>
      <c r="D44" s="10"/>
      <c r="E44" s="10"/>
      <c r="F44" s="10"/>
      <c r="G44" s="10"/>
      <c r="H44" s="10"/>
    </row>
  </sheetData>
  <dataValidations count="1">
    <dataValidation allowBlank="true" error="Elijan una opción de la lista" errorStyle="stop" operator="between" showDropDown="false" showErrorMessage="false" showInputMessage="false" sqref="F5:F44" type="list">
      <formula1>"Correcto,Parcial,Incorrecto,Inventado"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83203125" defaultRowHeight="15" zeroHeight="false" outlineLevelRow="0" outlineLevelCol="0"/>
  <cols>
    <col collapsed="false" customWidth="true" hidden="false" outlineLevel="0" max="1" min="1" style="0" width="48"/>
    <col collapsed="false" customWidth="true" hidden="false" outlineLevel="0" max="2" min="2" style="0" width="14"/>
  </cols>
  <sheetData>
    <row r="1" customFormat="false" ht="18" hidden="false" customHeight="true" outlineLevel="0" collapsed="false">
      <c r="A1" s="6" t="s">
        <v>1722</v>
      </c>
    </row>
    <row r="2" customFormat="false" ht="15" hidden="false" customHeight="false" outlineLevel="0" collapsed="false">
      <c r="A2" s="7" t="s">
        <v>1723</v>
      </c>
    </row>
    <row r="4" customFormat="false" ht="15" hidden="false" customHeight="false" outlineLevel="0" collapsed="false">
      <c r="A4" s="12" t="s">
        <v>1724</v>
      </c>
      <c r="B4" s="13" t="n">
        <f aca="false">COUNTA('1. Fuentes'!A5:A44)</f>
        <v>28</v>
      </c>
    </row>
    <row r="5" customFormat="false" ht="15" hidden="false" customHeight="false" outlineLevel="0" collapsed="false">
      <c r="A5" s="14" t="s">
        <v>1725</v>
      </c>
      <c r="B5" s="13" t="n">
        <f aca="false">COUNTIF('1. Fuentes'!N5:N44,"Integrada al lago")</f>
        <v>17</v>
      </c>
    </row>
    <row r="6" customFormat="false" ht="15" hidden="false" customHeight="false" outlineLevel="0" collapsed="false">
      <c r="A6" s="14" t="s">
        <v>1726</v>
      </c>
      <c r="B6" s="13" t="n">
        <f aca="false">COUNTIF('1. Fuentes'!N5:N44,"Candidata")</f>
        <v>4</v>
      </c>
    </row>
    <row r="7" customFormat="false" ht="15" hidden="false" customHeight="false" outlineLevel="0" collapsed="false">
      <c r="A7" s="14" t="s">
        <v>1727</v>
      </c>
      <c r="B7" s="13" t="n">
        <f aca="false">COUNTIF('1. Fuentes'!N5:N44,"No responde")</f>
        <v>1</v>
      </c>
    </row>
    <row r="8" customFormat="false" ht="15" hidden="false" customHeight="false" outlineLevel="0" collapsed="false">
      <c r="A8" s="14" t="s">
        <v>1728</v>
      </c>
      <c r="B8" s="13" t="n">
        <f aca="false">COUNTIF('1. Fuentes'!N5:N44,"No existe (la inventó la IA)")</f>
        <v>2</v>
      </c>
    </row>
    <row r="9" customFormat="false" ht="15" hidden="false" customHeight="false" outlineLevel="0" collapsed="false">
      <c r="A9" s="14" t="s">
        <v>1729</v>
      </c>
      <c r="B9" s="13" t="n">
        <f aca="false">COUNTIF('1. Fuentes'!N5:N44,"Descartada")</f>
        <v>4</v>
      </c>
    </row>
    <row r="10" customFormat="false" ht="15" hidden="false" customHeight="false" outlineLevel="0" collapsed="false">
      <c r="A10" s="12" t="s">
        <v>1730</v>
      </c>
      <c r="B10" s="13" t="n">
        <f aca="false">COUNTIF('1. Fuentes'!H5:H44,"no declara")+COUNTIFS('1. Fuentes'!A5:A44,"&lt;&gt;",'1. Fuentes'!H5:H44,"")</f>
        <v>10</v>
      </c>
    </row>
    <row r="11" customFormat="false" ht="15" hidden="false" customHeight="false" outlineLevel="0" collapsed="false">
      <c r="A11" s="12" t="s">
        <v>1731</v>
      </c>
      <c r="B11" s="13" t="n">
        <f aca="false">COUNTIF('1. Fuentes'!I5:I44,"Personas identificables")+COUNTIF('1. Fuentes'!I5:I44,"Texto libre sin revisar")</f>
        <v>2</v>
      </c>
    </row>
    <row r="12" customFormat="false" ht="15" hidden="false" customHeight="false" outlineLevel="0" collapsed="false">
      <c r="A12" s="12" t="s">
        <v>1732</v>
      </c>
      <c r="B12" s="13" t="n">
        <f aca="false">COUNTA('2. Diccionario'!C5:C373)</f>
        <v>369</v>
      </c>
    </row>
    <row r="13" customFormat="false" ht="15" hidden="false" customHeight="false" outlineLevel="0" collapsed="false">
      <c r="A13" s="14" t="s">
        <v>1733</v>
      </c>
      <c r="B13" s="13" t="n">
        <f aca="false">COUNTIF('2. Diccionario'!K5:K373,"Sensible")+COUNTIF('2. Diccionario'!K5:K373,"Dato personal")</f>
        <v>0</v>
      </c>
    </row>
    <row r="14" customFormat="false" ht="15" hidden="false" customHeight="false" outlineLevel="0" collapsed="false">
      <c r="A14" s="14" t="s">
        <v>1734</v>
      </c>
      <c r="B14" s="13" t="n">
        <f aca="false">COUNTIFS('2. Diccionario'!C5:C373,"&lt;&gt;",'2. Diccionario'!M5:M373,"")</f>
        <v>0</v>
      </c>
    </row>
    <row r="15" customFormat="false" ht="15" hidden="false" customHeight="false" outlineLevel="0" collapsed="false">
      <c r="A15" s="12" t="s">
        <v>1735</v>
      </c>
      <c r="B15" s="13" t="n">
        <f aca="false">COUNTA('3. Bitácora IA'!C5:C44)</f>
        <v>14</v>
      </c>
    </row>
    <row r="16" customFormat="false" ht="15" hidden="false" customHeight="false" outlineLevel="0" collapsed="false">
      <c r="A16" s="14" t="s">
        <v>1736</v>
      </c>
      <c r="B16" s="13" t="n">
        <f aca="false">COUNTIF('3. Bitácora IA'!F5:F44,"Incorrecto")+COUNTIF('3. Bitácora IA'!F5:F44,"Inventado")</f>
        <v>1</v>
      </c>
    </row>
    <row r="17" customFormat="false" ht="15" hidden="false" customHeight="false" outlineLevel="0" collapsed="false">
      <c r="A17" s="12" t="s">
        <v>1737</v>
      </c>
      <c r="B17" s="15" t="n">
        <f aca="false">IF(B15=0,"-",COUNTIF('3. Bitácora IA'!F5:F44,"Correcto")/B15)</f>
        <v>0.5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2026-09-28T11:22:59Z</dcterms:created>
  <dc:creator>openpyxl</dc:creator>
  <dc:description/>
  <dc:language>en-US</dc:language>
  <cp:lastModifiedBy>Santiago Jimenez Londono</cp:lastModifiedBy>
  <dcterms:modified xsi:type="dcterms:W3CDTF">2026-10-07T00:37:41Z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